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DA Projects_Excel\Project_3\fnp datasets\"/>
    </mc:Choice>
  </mc:AlternateContent>
  <xr:revisionPtr revIDLastSave="0" documentId="13_ncr:1_{AE55F887-8AF8-42AF-9DB9-B13CEE44990B}" xr6:coauthVersionLast="47" xr6:coauthVersionMax="47" xr10:uidLastSave="{00000000-0000-0000-0000-000000000000}"/>
  <bookViews>
    <workbookView xWindow="-110" yWindow="-110" windowWidth="19420" windowHeight="12220" firstSheet="1" activeTab="5" xr2:uid="{E21F933A-34E6-4B81-BD3B-528D4CB15C05}"/>
  </bookViews>
  <sheets>
    <sheet name="fnp datasets" sheetId="2" state="hidden" r:id="rId1"/>
    <sheet name="Customers" sheetId="3" r:id="rId2"/>
    <sheet name="Orders" sheetId="4" r:id="rId3"/>
    <sheet name="Products" sheetId="5" r:id="rId4"/>
    <sheet name="Poivt Tables" sheetId="6" r:id="rId5"/>
    <sheet name="Dash board" sheetId="7"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466418bf-ebbf-41d1-bd33-41642b441700" name="fnp datasets" connection="Query - fnp datasets"/>
          <x15:modelTable id="Customers_773a18f5-7218-4d09-9cfb-e6dc97623e78" name="Customers" connection="Query - Customers"/>
          <x15:modelTable id="Orders_1ffcc307-07cf-4aca-b775-4f59004bab73" name="Orders" connection="Query - Orders"/>
          <x15:modelTable id="Products_286a90a5-a3af-4939-8f57-e3a749e9f06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7" l="1"/>
  <c r="E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0B960D-96A1-48BB-8E30-3141728E22C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F9245541-F205-415F-98D5-2DCDDDE8E13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E32D227-8499-4774-A37F-54A4B62FF75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463CD7B-AC66-426E-86E2-45C0C2FAD9E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C6BDF71-6A18-4399-B746-478919F3E294}" name="Query - Customers" description="Connection to the 'Customers' query in the workbook." type="100" refreshedVersion="8" minRefreshableVersion="5">
    <extLst>
      <ext xmlns:x15="http://schemas.microsoft.com/office/spreadsheetml/2010/11/main" uri="{DE250136-89BD-433C-8126-D09CA5730AF9}">
        <x15:connection id="4733b2e0-0a2f-418d-a526-a6fbf7966e8d"/>
      </ext>
    </extLst>
  </connection>
  <connection id="6" xr16:uid="{3807DF68-23DE-4AA4-9391-5B22C1B73A3A}" name="Query - fnp datasets" description="Connection to the 'fnp datasets' query in the workbook." type="100" refreshedVersion="8" minRefreshableVersion="5">
    <extLst>
      <ext xmlns:x15="http://schemas.microsoft.com/office/spreadsheetml/2010/11/main" uri="{DE250136-89BD-433C-8126-D09CA5730AF9}">
        <x15:connection id="21cddb2f-a533-40ee-8899-bd13ede4856f"/>
      </ext>
    </extLst>
  </connection>
  <connection id="7" xr16:uid="{575895CB-19CA-48B1-923B-DC837D7CA9CA}" name="Query - Orders" description="Connection to the 'Orders' query in the workbook." type="100" refreshedVersion="8" minRefreshableVersion="5">
    <extLst>
      <ext xmlns:x15="http://schemas.microsoft.com/office/spreadsheetml/2010/11/main" uri="{DE250136-89BD-433C-8126-D09CA5730AF9}">
        <x15:connection id="72c49251-16a9-4dac-b184-2ffc5a950ca4"/>
      </ext>
    </extLst>
  </connection>
  <connection id="8" xr16:uid="{93A5D726-D015-4322-ABAE-0BF0FBDC623D}" name="Query - Products" description="Connection to the 'Products' query in the workbook." type="100" refreshedVersion="8" minRefreshableVersion="5">
    <extLst>
      <ext xmlns:x15="http://schemas.microsoft.com/office/spreadsheetml/2010/11/main" uri="{DE250136-89BD-433C-8126-D09CA5730AF9}">
        <x15:connection id="0600e38f-05cf-4910-9521-f1b331797d30"/>
      </ext>
    </extLst>
  </connection>
  <connection id="9" xr16:uid="{7004A2BB-0346-45BF-9E71-89C8FAB6C0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<sst xmlns="http://schemas.openxmlformats.org/spreadsheetml/2006/main" count="6016" uniqueCount="948">
  <si>
    <t>Name</t>
  </si>
  <si>
    <t>Extension</t>
  </si>
  <si>
    <t>Date accessed</t>
  </si>
  <si>
    <t>Date modified</t>
  </si>
  <si>
    <t>Date created</t>
  </si>
  <si>
    <t>Folder Path</t>
  </si>
  <si>
    <t>customers.csv</t>
  </si>
  <si>
    <t>.csv</t>
  </si>
  <si>
    <t>C:\DA Projects_Excel\Project_3\fnp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</si>
  <si>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</si>
  <si>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</si>
  <si>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</si>
  <si>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</si>
  <si>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</si>
  <si>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</si>
  <si>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</si>
  <si>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</si>
  <si>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</si>
  <si>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</si>
  <si>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</si>
  <si>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</si>
  <si>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</si>
  <si>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</si>
  <si>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</si>
  <si>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</si>
  <si>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</si>
  <si>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</si>
  <si>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</si>
  <si>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</si>
  <si>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</si>
  <si>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</si>
  <si>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</si>
  <si>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</si>
  <si>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</si>
  <si>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</si>
  <si>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</si>
  <si>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</si>
  <si>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</si>
  <si>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</si>
  <si>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</si>
  <si>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</si>
  <si>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</si>
  <si>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</si>
  <si>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</si>
  <si>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</si>
  <si>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</si>
  <si>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</si>
  <si>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</si>
  <si>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</si>
  <si>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</si>
  <si>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</si>
  <si>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</si>
  <si>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</si>
  <si>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</si>
  <si>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</si>
  <si>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</si>
  <si>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</si>
  <si>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</si>
  <si>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</si>
  <si>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</si>
  <si>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</si>
  <si>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</si>
  <si>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</si>
  <si>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</si>
  <si>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</si>
  <si>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</si>
  <si>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</si>
  <si>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</si>
  <si>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</si>
  <si>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</si>
  <si>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</si>
  <si>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</si>
  <si>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</si>
  <si>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</si>
  <si>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</si>
  <si>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</si>
  <si>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</si>
  <si>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</si>
  <si>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</si>
  <si>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</si>
  <si>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</si>
  <si>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</si>
  <si>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</si>
  <si>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</si>
  <si>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</si>
  <si>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</si>
  <si>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</si>
  <si>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</si>
  <si>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</si>
  <si>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</si>
  <si>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</si>
  <si>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</si>
  <si>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</si>
  <si>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</si>
  <si>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</si>
  <si>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</si>
  <si>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</si>
  <si>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</si>
  <si>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</si>
  <si>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</si>
  <si>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</si>
  <si>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</si>
  <si>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</si>
  <si>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</si>
  <si>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</si>
  <si>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</si>
  <si>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</si>
  <si>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</si>
  <si>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</si>
  <si>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</si>
  <si>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</si>
  <si>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</si>
  <si>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</si>
  <si>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</si>
  <si>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</si>
  <si>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</si>
  <si>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</si>
  <si>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</si>
  <si>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</si>
  <si>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</si>
  <si>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</si>
  <si>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</si>
  <si>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</si>
  <si>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</si>
  <si>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</si>
  <si>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</si>
  <si>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</si>
  <si>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</si>
  <si>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</si>
  <si>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</si>
  <si>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</si>
  <si>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</si>
  <si>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</si>
  <si>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</si>
  <si>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</si>
  <si>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</si>
  <si>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</si>
  <si>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</si>
  <si>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</si>
  <si>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</si>
  <si>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</si>
  <si>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</si>
  <si>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</si>
  <si>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</si>
  <si>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</si>
  <si>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</si>
  <si>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</si>
  <si>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</si>
  <si>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</si>
  <si>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</si>
  <si>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</si>
  <si>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</si>
  <si>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</si>
  <si>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</si>
  <si>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</si>
  <si>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</si>
  <si>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</si>
  <si>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</si>
  <si>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</si>
  <si>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</si>
  <si>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</si>
  <si>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</si>
  <si>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</si>
  <si>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</si>
  <si>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</si>
  <si>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</si>
  <si>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</si>
  <si>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</si>
  <si>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</si>
  <si>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</si>
  <si>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</si>
  <si>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</si>
  <si>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</si>
  <si>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</si>
  <si>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</si>
  <si>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</si>
  <si>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</si>
  <si>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</si>
  <si>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</si>
  <si>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</si>
  <si>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</si>
  <si>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</si>
  <si>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</si>
  <si>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</si>
  <si>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</si>
  <si>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</si>
  <si>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</si>
  <si>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</si>
  <si>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</si>
  <si>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</si>
  <si>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</si>
  <si>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</si>
  <si>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</si>
  <si>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</si>
  <si>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</si>
  <si>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</si>
  <si>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</si>
  <si>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</si>
  <si>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</si>
  <si>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</si>
  <si>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</si>
  <si>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</si>
  <si>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</si>
  <si>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</si>
  <si>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</si>
  <si>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</si>
  <si>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</si>
  <si>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</si>
  <si>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</si>
  <si>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</si>
  <si>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</si>
  <si>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</si>
  <si>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</si>
  <si>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</si>
  <si>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</si>
  <si>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</si>
  <si>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</si>
  <si>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</si>
  <si>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</si>
  <si>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</si>
  <si>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</si>
  <si>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</si>
  <si>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</si>
  <si>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</si>
  <si>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</si>
  <si>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</si>
  <si>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</si>
  <si>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</si>
  <si>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</si>
  <si>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</si>
  <si>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</si>
  <si>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</si>
  <si>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</si>
  <si>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</si>
  <si>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</si>
  <si>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</si>
  <si>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</si>
  <si>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</si>
  <si>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</si>
  <si>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</si>
  <si>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</si>
  <si>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</si>
  <si>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</si>
  <si>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</si>
  <si>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</si>
  <si>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</si>
  <si>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</si>
  <si>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</si>
  <si>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</si>
  <si>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</si>
  <si>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</si>
  <si>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</si>
  <si>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</si>
  <si>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</si>
  <si>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</si>
  <si>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</si>
  <si>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</si>
  <si>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</si>
  <si>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</si>
  <si>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</si>
  <si>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</si>
  <si>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</si>
  <si>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</si>
  <si>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</si>
  <si>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</si>
  <si>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</si>
  <si>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</si>
  <si>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</si>
  <si>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</si>
  <si>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</si>
  <si>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</si>
  <si>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</si>
  <si>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</si>
  <si>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</si>
  <si>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</si>
  <si>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</si>
  <si>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</si>
  <si>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</si>
  <si>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</si>
  <si>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</si>
  <si>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</si>
  <si>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</si>
  <si>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</si>
  <si>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</si>
  <si>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</si>
  <si>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</si>
  <si>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</si>
  <si>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</si>
  <si>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</si>
  <si>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</si>
  <si>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</si>
  <si>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</si>
  <si>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</si>
  <si>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</si>
  <si>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</si>
  <si>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</si>
  <si>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</si>
  <si>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</si>
  <si>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</si>
  <si>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</si>
  <si>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</si>
  <si>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</si>
  <si>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</si>
  <si>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</si>
  <si>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</si>
  <si>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</si>
  <si>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</si>
  <si>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</si>
  <si>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</si>
  <si>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</si>
  <si>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</si>
  <si>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</si>
  <si>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</si>
  <si>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</si>
  <si>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</si>
  <si>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</si>
  <si>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</si>
  <si>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</si>
  <si>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</si>
  <si>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</si>
  <si>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</si>
  <si>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</si>
  <si>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</si>
  <si>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</si>
  <si>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</si>
  <si>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</si>
  <si>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</si>
  <si>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</si>
  <si>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</si>
  <si>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</si>
  <si>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</si>
  <si>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</si>
  <si>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</si>
  <si>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</si>
  <si>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</si>
  <si>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</si>
  <si>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</si>
  <si>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</si>
  <si>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</si>
  <si>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</si>
  <si>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</si>
  <si>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</si>
  <si>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</si>
  <si>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</si>
  <si>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</si>
  <si>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</si>
  <si>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</si>
  <si>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</si>
  <si>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</si>
  <si>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</si>
  <si>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</si>
  <si>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</si>
  <si>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</si>
  <si>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</si>
  <si>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</si>
  <si>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</si>
  <si>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</si>
  <si>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</si>
  <si>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</si>
  <si>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</si>
  <si>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</si>
  <si>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</si>
  <si>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</si>
  <si>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</si>
  <si>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</si>
  <si>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</si>
  <si>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</si>
  <si>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</si>
  <si>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</si>
  <si>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</si>
  <si>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</si>
  <si>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</si>
  <si>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</si>
  <si>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</si>
  <si>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</si>
  <si>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</si>
  <si>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</si>
  <si>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</si>
  <si>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</si>
  <si>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</si>
  <si>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</si>
  <si>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</si>
  <si>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</si>
  <si>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</si>
  <si>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</si>
  <si>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</si>
  <si>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</si>
  <si>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</si>
  <si>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</si>
  <si>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</si>
  <si>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</si>
  <si>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</si>
  <si>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</si>
  <si>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</si>
  <si>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</si>
  <si>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</si>
  <si>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</si>
  <si>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</si>
  <si>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</si>
  <si>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</si>
  <si>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</si>
  <si>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</si>
  <si>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</si>
  <si>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</si>
  <si>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</si>
  <si>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</si>
  <si>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</si>
  <si>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</si>
  <si>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</si>
  <si>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</si>
  <si>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</si>
  <si>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</si>
  <si>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</si>
  <si>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</si>
  <si>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</si>
  <si>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</si>
  <si>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</si>
  <si>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</si>
  <si>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</si>
  <si>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</si>
  <si>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</si>
  <si>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</si>
  <si>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</si>
  <si>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</si>
  <si>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</si>
  <si>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</si>
  <si>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</si>
  <si>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</si>
  <si>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</si>
  <si>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</si>
  <si>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</si>
  <si>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</si>
  <si>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</si>
  <si>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</si>
  <si>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</si>
  <si>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</si>
  <si>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</si>
  <si>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</si>
  <si>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</si>
  <si>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</si>
  <si>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</si>
  <si>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</si>
  <si>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</si>
  <si>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</si>
  <si>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</si>
  <si>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</si>
  <si>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</si>
  <si>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</si>
  <si>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</si>
  <si>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</si>
  <si>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</si>
  <si>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</si>
  <si>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</si>
  <si>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</si>
  <si>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</si>
  <si>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</si>
  <si>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</si>
  <si>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</si>
  <si>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</si>
  <si>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</si>
  <si>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</si>
  <si>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</si>
  <si>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</si>
  <si>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</si>
  <si>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</si>
  <si>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</si>
  <si>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</si>
  <si>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</si>
  <si>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</si>
  <si>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</si>
  <si>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</si>
  <si>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</si>
  <si>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</si>
  <si>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</si>
  <si>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</si>
  <si>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</si>
  <si>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</si>
  <si>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</si>
  <si>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</si>
  <si>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</si>
  <si>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</si>
  <si>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</si>
  <si>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</si>
  <si>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</si>
  <si>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</si>
  <si>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</si>
  <si>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</si>
  <si>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</si>
  <si>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</si>
  <si>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</si>
  <si>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</si>
  <si>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</si>
  <si>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</si>
  <si>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</si>
  <si>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</si>
  <si>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</si>
  <si>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</si>
  <si>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</si>
  <si>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</si>
  <si>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</si>
  <si>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</si>
  <si>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</si>
  <si>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</si>
  <si>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</si>
  <si>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</si>
  <si>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</si>
  <si>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</si>
  <si>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</si>
  <si>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</si>
  <si>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</si>
  <si>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</si>
  <si>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</si>
  <si>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</si>
  <si>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</si>
  <si>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</si>
  <si>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</si>
  <si>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</si>
  <si>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</si>
  <si>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</si>
  <si>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</si>
  <si>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</si>
  <si>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</si>
  <si>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</si>
  <si>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</si>
  <si>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</si>
  <si>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</si>
  <si>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</si>
  <si>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</si>
  <si>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</si>
  <si>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</si>
  <si>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</si>
  <si>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</si>
  <si>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</si>
  <si>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</si>
  <si>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</si>
  <si>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</si>
  <si>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</si>
  <si>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</si>
  <si>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</si>
  <si>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</si>
  <si>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</si>
  <si>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</si>
  <si>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</si>
  <si>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</si>
  <si>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</si>
  <si>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</si>
  <si>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</si>
  <si>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</si>
  <si>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</si>
  <si>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</si>
  <si>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</si>
  <si>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</si>
  <si>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</si>
  <si>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</si>
  <si>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</si>
  <si>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</si>
  <si>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</si>
  <si>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</si>
  <si>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</si>
  <si>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</si>
  <si>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</si>
  <si>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</si>
  <si>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</si>
  <si>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</si>
  <si>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</si>
  <si>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</si>
  <si>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</si>
  <si>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</si>
  <si>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</si>
  <si>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</si>
  <si>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</si>
  <si>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</si>
  <si>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</si>
  <si>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</si>
  <si>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</si>
  <si>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</si>
  <si>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</si>
  <si>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</si>
  <si>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</si>
  <si>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</si>
  <si>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</si>
  <si>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</si>
  <si>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</si>
  <si>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</si>
  <si>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</si>
  <si>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</si>
  <si>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</si>
  <si>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</si>
  <si>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</si>
  <si>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</si>
  <si>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</si>
  <si>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</si>
  <si>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</si>
  <si>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</si>
  <si>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</si>
  <si>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</si>
  <si>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</si>
  <si>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</si>
  <si>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</si>
  <si>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</si>
  <si>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</si>
  <si>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</si>
  <si>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</si>
  <si>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</si>
  <si>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</si>
  <si>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</si>
  <si>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</si>
  <si>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</si>
  <si>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</si>
  <si>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</si>
  <si>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</si>
  <si>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</si>
  <si>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</si>
  <si>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</si>
  <si>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</si>
  <si>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</si>
  <si>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diff_delivery_order</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</si>
  <si>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</si>
  <si>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</si>
  <si>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</si>
  <si>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</si>
  <si>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</si>
  <si>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</si>
  <si>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</si>
  <si>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</si>
  <si>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</si>
  <si>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</si>
  <si>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</si>
  <si>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</si>
  <si>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</si>
  <si>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</si>
  <si>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</si>
  <si>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</si>
  <si>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</si>
  <si>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</si>
  <si>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</si>
  <si>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</si>
  <si>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</si>
  <si>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</si>
  <si>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</si>
  <si>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</si>
  <si>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</si>
  <si>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</si>
  <si>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</si>
  <si>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</si>
  <si>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</si>
  <si>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</si>
  <si>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</si>
  <si>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</si>
  <si>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</si>
  <si>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</si>
  <si>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</si>
  <si>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</si>
  <si>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</si>
  <si>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</si>
  <si>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</si>
  <si>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</si>
  <si>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</si>
  <si>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</si>
  <si>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</si>
  <si>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</si>
  <si>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</si>
  <si>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</si>
  <si>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</si>
  <si>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</si>
  <si>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</si>
  <si>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</si>
  <si>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</si>
  <si>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</si>
  <si>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</si>
  <si>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</si>
  <si>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</si>
  <si>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</si>
  <si>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</si>
  <si>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</si>
  <si>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</si>
  <si>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</si>
  <si>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</si>
  <si>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</si>
  <si>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</si>
  <si>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</si>
  <si>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</si>
  <si>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</si>
  <si>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</si>
  <si>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</si>
  <si>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</si>
  <si>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</si>
  <si>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</si>
  <si>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</si>
  <si>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</si>
  <si>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</si>
  <si>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</si>
  <si>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</si>
  <si>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</si>
  <si>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</si>
  <si>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</si>
  <si>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</si>
  <si>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</si>
  <si>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</si>
  <si>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</si>
  <si>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</si>
  <si>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</si>
  <si>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</si>
  <si>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</si>
  <si>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</si>
  <si>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</si>
  <si>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</si>
  <si>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</si>
  <si>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</si>
  <si>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</si>
  <si>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</si>
  <si>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</si>
  <si>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</si>
  <si>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</si>
  <si>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</si>
  <si>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</si>
  <si>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</si>
  <si>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</si>
  <si>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</si>
  <si>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</si>
  <si>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</si>
  <si>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</si>
  <si>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</si>
  <si>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</si>
  <si>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</si>
  <si>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</si>
  <si>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</si>
  <si>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</si>
  <si>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</si>
  <si>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</si>
  <si>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</si>
  <si>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</si>
  <si>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</si>
  <si>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</si>
  <si>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</si>
  <si>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</si>
  <si>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</si>
  <si>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</si>
  <si>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</si>
  <si>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</si>
  <si>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</si>
  <si>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</si>
  <si>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</si>
  <si>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</si>
  <si>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</si>
  <si>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</si>
  <si>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</si>
  <si>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</si>
  <si>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</si>
  <si>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</si>
  <si>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</si>
  <si>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</si>
  <si>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</si>
  <si>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</si>
  <si>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</si>
  <si>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</si>
  <si>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</si>
  <si>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</si>
  <si>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</si>
  <si>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</si>
  <si>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</si>
  <si>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</si>
  <si>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</si>
  <si>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</si>
  <si>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</si>
  <si>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</si>
  <si>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</si>
  <si>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</si>
  <si>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</si>
  <si>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</si>
  <si>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</si>
  <si>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</si>
  <si>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</si>
  <si>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</si>
  <si>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</si>
  <si>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</si>
  <si>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</si>
  <si>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</si>
  <si>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</si>
  <si>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</si>
  <si>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</si>
  <si>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</si>
  <si>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</si>
  <si>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</si>
  <si>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</si>
  <si>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</si>
  <si>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</si>
  <si>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</si>
  <si>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</si>
  <si>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</si>
  <si>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</si>
  <si>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</si>
  <si>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</si>
  <si>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</si>
  <si>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</si>
  <si>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</si>
  <si>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</si>
  <si>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</si>
  <si>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</si>
  <si>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</si>
  <si>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</si>
  <si>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</si>
  <si>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</si>
  <si>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</si>
  <si>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</si>
  <si>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</si>
  <si>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</si>
  <si>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</si>
  <si>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</si>
  <si>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</si>
  <si>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</si>
  <si>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</si>
  <si>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</si>
  <si>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</si>
  <si>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</si>
  <si>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</si>
  <si>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</si>
  <si>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</si>
  <si>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</si>
  <si>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</si>
  <si>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</si>
  <si>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</si>
  <si>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</si>
  <si>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</si>
  <si>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</si>
  <si>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</si>
  <si>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</si>
  <si>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</si>
  <si>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</si>
  <si>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</si>
  <si>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</si>
  <si>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</si>
  <si>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</si>
  <si>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</si>
  <si>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</si>
  <si>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</si>
  <si>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</si>
  <si>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</si>
  <si>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</si>
  <si>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</si>
  <si>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</si>
  <si>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</si>
  <si>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</si>
  <si>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</si>
  <si>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</si>
  <si>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</si>
  <si>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</si>
  <si>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</si>
  <si>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</si>
  <si>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</si>
  <si>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</si>
  <si>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</si>
  <si>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</si>
  <si>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</si>
  <si>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</si>
  <si>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</si>
  <si>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</si>
  <si>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</si>
  <si>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</si>
  <si>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</si>
  <si>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</si>
  <si>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</si>
  <si>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</si>
  <si>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</si>
  <si>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</si>
  <si>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</si>
  <si>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</si>
  <si>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</si>
  <si>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</si>
  <si>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</si>
  <si>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</si>
  <si>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</si>
  <si>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</si>
  <si>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</si>
  <si>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</si>
  <si>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</si>
  <si>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</si>
  <si>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</si>
  <si>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</si>
  <si>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</si>
  <si>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</si>
  <si>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</si>
  <si>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</si>
  <si>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</si>
  <si>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</si>
  <si>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</si>
  <si>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</si>
  <si>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</si>
  <si>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</si>
  <si>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</si>
  <si>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</si>
  <si>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</si>
  <si>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</si>
  <si>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</si>
  <si>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</si>
  <si>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</si>
  <si>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</si>
  <si>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</si>
  <si>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</si>
  <si>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</si>
  <si>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</si>
  <si>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</si>
  <si>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</si>
  <si>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</si>
  <si>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</si>
  <si>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</si>
  <si>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</si>
  <si>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</si>
  <si>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</si>
  <si>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</si>
  <si>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</si>
  <si>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</si>
  <si>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</si>
  <si>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</si>
  <si>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</si>
  <si>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</si>
  <si>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</si>
  <si>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</si>
  <si>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</si>
  <si>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</si>
  <si>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</si>
  <si>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</si>
  <si>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</si>
  <si>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</si>
  <si>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</si>
  <si>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</si>
  <si>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</si>
  <si>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</si>
  <si>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</si>
  <si>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</si>
  <si>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</si>
  <si>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</si>
  <si>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</si>
  <si>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</si>
  <si>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</si>
  <si>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</si>
  <si>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</si>
  <si>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</si>
  <si>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</si>
  <si>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</si>
  <si>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</si>
  <si>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</si>
  <si>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</si>
  <si>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t>
  </si>
  <si>
    <t>Sum of Revenue</t>
  </si>
  <si>
    <t>Average of diff_delivery_order</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</si>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</sst>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[Book1.xlsx]Poivt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'Poivt Tables'!$C$5</c:f>
              <c:strCache>
                <c:ptCount val="1"/>
                <c:pt idx="0">
                  <c:v>Total</c:v>
                </c:pt>
              </c:strCache>
            </c:strRef>
          </c:tx>
          <c:spPr>
            <a:ln w="28575" cap="rnd">
              <a:solidFill>
                <a:schemeClr val="accent1"/>
              </a:solidFill>
              <a:round/>
            </a:ln>
            <a:effectLst/>
          </c:spPr>
          <c:marker>
            <c:symbol val="none"/>
          </c:marker>
          <c:cat>
            <c:strRef>
              <c:f>'Poivt Tables'!$B$6:$B$18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'Poivt Tables'!$C$6:$C$18</c:f>
              <c:numCache>
                <c:formatCode>\$#,##0.00;\(\$#,##0.00\);\$#,##0.00</c:formatCode>
                <c:ptCount val="12"/>
                <c:pt idx="0">
                  <c:v>95468</c:v>
                </c:pt>
                <c:pt idx="1">
                  <c:v>504129</c:v>
                </c:pt>
                <c:pt idx="2">
                  <c:v>137521</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612-4459-ABB5-566AD770D8B8}"/>
            </c:ext>
          </c:extLst>
        </c:ser>
        <c:dLbls>
          <c:showLegendKey val="0"/>
          <c:showVal val="0"/>
          <c:showCatName val="0"/>
          <c:showSerName val="0"/>
          <c:showPercent val="0"/>
          <c:showBubbleSize val="0"/>
        </c:dLbls>
        <c:smooth val="0"/>
        <c:axId val="468525936"/>
        <c:axId val="468527376"/>
      </c:lineChart>
      <c:catAx>
        <c:axId val="46852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27376"/>
        <c:crosses val="autoZero"/>
        <c:auto val="1"/>
        <c:lblAlgn val="ctr"/>
        <c:lblOffset val="100"/>
        <c:noMultiLvlLbl val="0"/>
      </c:catAx>
      <c:valAx>
        <c:axId val="46852737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2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[Book1.xlsx]Poivt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Tables'!$F$5</c:f>
              <c:strCache>
                <c:ptCount val="1"/>
                <c:pt idx="0">
                  <c:v>Total</c:v>
                </c:pt>
              </c:strCache>
            </c:strRef>
          </c:tx>
          <c:spPr>
            <a:solidFill>
              <a:schemeClr val="accent1"/>
            </a:solidFill>
            <a:ln>
              <a:noFill/>
            </a:ln>
            <a:effectLst/>
          </c:spPr>
          <c:invertIfNegative val="0"/>
          <c:cat>
            <c:strRef>
              <c:f>'Poivt Tables'!$E$6:$E$11</c:f>
              <c:strCache>
                <c:ptCount val="5"/>
                <c:pt idx="0">
                  <c:v>Deserunt Box</c:v>
                </c:pt>
                <c:pt idx="1">
                  <c:v>Dolores Gift</c:v>
                </c:pt>
                <c:pt idx="2">
                  <c:v>Magnam Set</c:v>
                </c:pt>
                <c:pt idx="3">
                  <c:v>Nostrum Box</c:v>
                </c:pt>
                <c:pt idx="4">
                  <c:v>Quia Gift</c:v>
                </c:pt>
              </c:strCache>
            </c:strRef>
          </c:cat>
          <c:val>
            <c:numRef>
              <c:f>'Poivt Tables'!$F$6:$F$11</c:f>
              <c:numCache>
                <c:formatCode>\$#,##0.00;\(\$#,##0.00\);\$#,##0.00</c:formatCode>
                <c:ptCount val="5"/>
                <c:pt idx="0">
                  <c:v>97665</c:v>
                </c:pt>
                <c:pt idx="1">
                  <c:v>106624</c:v>
                </c:pt>
                <c:pt idx="2">
                  <c:v>121905</c:v>
                </c:pt>
                <c:pt idx="3">
                  <c:v>97656</c:v>
                </c:pt>
                <c:pt idx="4">
                  <c:v>114476</c:v>
                </c:pt>
              </c:numCache>
            </c:numRef>
          </c:val>
          <c:extLst>
            <c:ext xmlns:c16="http://schemas.microsoft.com/office/drawing/2014/chart" uri="{C3380CC4-5D6E-409C-BE32-E72D297353CC}">
              <c16:uniqueId val="{00000000-68B7-4AFB-994B-523D1D1E1D50}"/>
            </c:ext>
          </c:extLst>
        </c:ser>
        <c:dLbls>
          <c:showLegendKey val="0"/>
          <c:showVal val="0"/>
          <c:showCatName val="0"/>
          <c:showSerName val="0"/>
          <c:showPercent val="0"/>
          <c:showBubbleSize val="0"/>
        </c:dLbls>
        <c:gapWidth val="219"/>
        <c:overlap val="-27"/>
        <c:axId val="468544176"/>
        <c:axId val="468544656"/>
      </c:barChart>
      <c:catAx>
        <c:axId val="4685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44656"/>
        <c:crosses val="autoZero"/>
        <c:auto val="1"/>
        <c:lblAlgn val="ctr"/>
        <c:lblOffset val="100"/>
        <c:noMultiLvlLbl val="0"/>
      </c:catAx>
      <c:valAx>
        <c:axId val="46854465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4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[Book1.xlsx]Poivt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Tables'!$I$5</c:f>
              <c:strCache>
                <c:ptCount val="1"/>
                <c:pt idx="0">
                  <c:v>Total</c:v>
                </c:pt>
              </c:strCache>
            </c:strRef>
          </c:tx>
          <c:spPr>
            <a:solidFill>
              <a:schemeClr val="accent1"/>
            </a:solidFill>
            <a:ln>
              <a:noFill/>
            </a:ln>
            <a:effectLst/>
          </c:spPr>
          <c:invertIfNegative val="0"/>
          <c:cat>
            <c:strRef>
              <c:f>'Poivt Tables'!$H$6:$H$13</c:f>
              <c:strCache>
                <c:ptCount val="7"/>
                <c:pt idx="0">
                  <c:v>Cake</c:v>
                </c:pt>
                <c:pt idx="1">
                  <c:v>Colors</c:v>
                </c:pt>
                <c:pt idx="2">
                  <c:v>Mugs</c:v>
                </c:pt>
                <c:pt idx="3">
                  <c:v>Plants</c:v>
                </c:pt>
                <c:pt idx="4">
                  <c:v>Raksha Bandhan</c:v>
                </c:pt>
                <c:pt idx="5">
                  <c:v>Soft Toys</c:v>
                </c:pt>
                <c:pt idx="6">
                  <c:v>Sweets</c:v>
                </c:pt>
              </c:strCache>
            </c:strRef>
          </c:cat>
          <c:val>
            <c:numRef>
              <c:f>'Poivt Tables'!$I$6:$I$13</c:f>
              <c:numCache>
                <c:formatCode>\$#,##0.00;\(\$#,##0.00\);\$#,##0.00</c:formatCode>
                <c:ptCount val="7"/>
                <c:pt idx="0">
                  <c:v>238220</c:v>
                </c:pt>
                <c:pt idx="1">
                  <c:v>684847</c:v>
                </c:pt>
                <c:pt idx="2">
                  <c:v>131550</c:v>
                </c:pt>
                <c:pt idx="3">
                  <c:v>195401</c:v>
                </c:pt>
                <c:pt idx="4">
                  <c:v>297372</c:v>
                </c:pt>
                <c:pt idx="5">
                  <c:v>716700</c:v>
                </c:pt>
                <c:pt idx="6">
                  <c:v>682212</c:v>
                </c:pt>
              </c:numCache>
            </c:numRef>
          </c:val>
          <c:extLst>
            <c:ext xmlns:c16="http://schemas.microsoft.com/office/drawing/2014/chart" uri="{C3380CC4-5D6E-409C-BE32-E72D297353CC}">
              <c16:uniqueId val="{00000000-8530-45CC-B2A4-9B7E22186B62}"/>
            </c:ext>
          </c:extLst>
        </c:ser>
        <c:dLbls>
          <c:showLegendKey val="0"/>
          <c:showVal val="0"/>
          <c:showCatName val="0"/>
          <c:showSerName val="0"/>
          <c:showPercent val="0"/>
          <c:showBubbleSize val="0"/>
        </c:dLbls>
        <c:gapWidth val="219"/>
        <c:overlap val="-27"/>
        <c:axId val="468526896"/>
        <c:axId val="468550896"/>
      </c:barChart>
      <c:catAx>
        <c:axId val="46852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50896"/>
        <c:crosses val="autoZero"/>
        <c:auto val="1"/>
        <c:lblAlgn val="ctr"/>
        <c:lblOffset val="100"/>
        <c:noMultiLvlLbl val="0"/>
      </c:catAx>
      <c:valAx>
        <c:axId val="46855089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2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[Book1.xlsx]Poivt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a:t>
            </a:r>
            <a:r>
              <a:rPr lang="en-US" baseline="0"/>
              <a:t>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Tables'!$F$14</c:f>
              <c:strCache>
                <c:ptCount val="1"/>
                <c:pt idx="0">
                  <c:v>Total</c:v>
                </c:pt>
              </c:strCache>
            </c:strRef>
          </c:tx>
          <c:spPr>
            <a:solidFill>
              <a:schemeClr val="accent1"/>
            </a:solidFill>
            <a:ln>
              <a:noFill/>
            </a:ln>
            <a:effectLst/>
          </c:spPr>
          <c:invertIfNegative val="0"/>
          <c:cat>
            <c:strRef>
              <c:f>'Poivt Tables'!$E$15:$E$25</c:f>
              <c:strCache>
                <c:ptCount val="10"/>
                <c:pt idx="0">
                  <c:v>Ballia</c:v>
                </c:pt>
                <c:pt idx="1">
                  <c:v>Bareilly</c:v>
                </c:pt>
                <c:pt idx="2">
                  <c:v>Bhilai</c:v>
                </c:pt>
                <c:pt idx="3">
                  <c:v>Bulandshahr</c:v>
                </c:pt>
                <c:pt idx="4">
                  <c:v>Darbhanga</c:v>
                </c:pt>
                <c:pt idx="5">
                  <c:v>Ghaziabad</c:v>
                </c:pt>
                <c:pt idx="6">
                  <c:v>Hazaribagh</c:v>
                </c:pt>
                <c:pt idx="7">
                  <c:v>Jalna</c:v>
                </c:pt>
                <c:pt idx="8">
                  <c:v>Kamarhati</c:v>
                </c:pt>
                <c:pt idx="9">
                  <c:v>Pallavaram</c:v>
                </c:pt>
              </c:strCache>
            </c:strRef>
          </c:cat>
          <c:val>
            <c:numRef>
              <c:f>'Poivt Tables'!$F$15:$F$25</c:f>
              <c:numCache>
                <c:formatCode>General</c:formatCode>
                <c:ptCount val="10"/>
                <c:pt idx="0">
                  <c:v>6</c:v>
                </c:pt>
                <c:pt idx="1">
                  <c:v>9</c:v>
                </c:pt>
                <c:pt idx="2">
                  <c:v>8</c:v>
                </c:pt>
                <c:pt idx="3">
                  <c:v>6</c:v>
                </c:pt>
                <c:pt idx="4">
                  <c:v>7</c:v>
                </c:pt>
                <c:pt idx="5">
                  <c:v>9</c:v>
                </c:pt>
                <c:pt idx="6">
                  <c:v>7</c:v>
                </c:pt>
                <c:pt idx="7">
                  <c:v>6</c:v>
                </c:pt>
                <c:pt idx="8">
                  <c:v>6</c:v>
                </c:pt>
                <c:pt idx="9">
                  <c:v>7</c:v>
                </c:pt>
              </c:numCache>
            </c:numRef>
          </c:val>
          <c:extLst>
            <c:ext xmlns:c16="http://schemas.microsoft.com/office/drawing/2014/chart" uri="{C3380CC4-5D6E-409C-BE32-E72D297353CC}">
              <c16:uniqueId val="{00000000-586C-4395-9310-A56A2B595849}"/>
            </c:ext>
          </c:extLst>
        </c:ser>
        <c:dLbls>
          <c:showLegendKey val="0"/>
          <c:showVal val="0"/>
          <c:showCatName val="0"/>
          <c:showSerName val="0"/>
          <c:showPercent val="0"/>
          <c:showBubbleSize val="0"/>
        </c:dLbls>
        <c:gapWidth val="219"/>
        <c:overlap val="-27"/>
        <c:axId val="468549456"/>
        <c:axId val="468551376"/>
      </c:barChart>
      <c:catAx>
        <c:axId val="4685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51376"/>
        <c:crosses val="autoZero"/>
        <c:auto val="1"/>
        <c:lblAlgn val="ctr"/>
        <c:lblOffset val="100"/>
        <c:noMultiLvlLbl val="0"/>
      </c:catAx>
      <c:valAx>
        <c:axId val="46855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4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[Book1.xlsx]Poivt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Tables'!$I$15</c:f>
              <c:strCache>
                <c:ptCount val="1"/>
                <c:pt idx="0">
                  <c:v>Total</c:v>
                </c:pt>
              </c:strCache>
            </c:strRef>
          </c:tx>
          <c:spPr>
            <a:solidFill>
              <a:schemeClr val="accent1"/>
            </a:solidFill>
            <a:ln>
              <a:noFill/>
            </a:ln>
            <a:effectLst/>
          </c:spPr>
          <c:invertIfNegative val="0"/>
          <c:cat>
            <c:strRef>
              <c:f>'Poivt Tables'!$H$16:$H$22</c:f>
              <c:strCache>
                <c:ptCount val="6"/>
                <c:pt idx="0">
                  <c:v>All Occasions</c:v>
                </c:pt>
                <c:pt idx="1">
                  <c:v>Anniversary</c:v>
                </c:pt>
                <c:pt idx="2">
                  <c:v>Birthday</c:v>
                </c:pt>
                <c:pt idx="3">
                  <c:v>Diwali</c:v>
                </c:pt>
                <c:pt idx="4">
                  <c:v>Raksha Bandhan</c:v>
                </c:pt>
                <c:pt idx="5">
                  <c:v>Valentine's Day</c:v>
                </c:pt>
              </c:strCache>
            </c:strRef>
          </c:cat>
          <c:val>
            <c:numRef>
              <c:f>'Poivt Tables'!$I$16:$I$22</c:f>
              <c:numCache>
                <c:formatCode>\$#,##0.00;\(\$#,##0.00\);\$#,##0.00</c:formatCode>
                <c:ptCount val="6"/>
                <c:pt idx="0">
                  <c:v>586176</c:v>
                </c:pt>
                <c:pt idx="1">
                  <c:v>674634</c:v>
                </c:pt>
                <c:pt idx="2">
                  <c:v>408194</c:v>
                </c:pt>
                <c:pt idx="3">
                  <c:v>313783</c:v>
                </c:pt>
                <c:pt idx="4">
                  <c:v>631585</c:v>
                </c:pt>
                <c:pt idx="5">
                  <c:v>331930</c:v>
                </c:pt>
              </c:numCache>
            </c:numRef>
          </c:val>
          <c:extLst>
            <c:ext xmlns:c16="http://schemas.microsoft.com/office/drawing/2014/chart" uri="{C3380CC4-5D6E-409C-BE32-E72D297353CC}">
              <c16:uniqueId val="{00000000-2E96-4AFA-9796-CEEAEEC95E0E}"/>
            </c:ext>
          </c:extLst>
        </c:ser>
        <c:dLbls>
          <c:showLegendKey val="0"/>
          <c:showVal val="0"/>
          <c:showCatName val="0"/>
          <c:showSerName val="0"/>
          <c:showPercent val="0"/>
          <c:showBubbleSize val="0"/>
        </c:dLbls>
        <c:gapWidth val="219"/>
        <c:overlap val="-27"/>
        <c:axId val="468426576"/>
        <c:axId val="468429936"/>
      </c:barChart>
      <c:catAx>
        <c:axId val="4684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29936"/>
        <c:crosses val="autoZero"/>
        <c:auto val="1"/>
        <c:lblAlgn val="ctr"/>
        <c:lblOffset val="100"/>
        <c:noMultiLvlLbl val="0"/>
      </c:catAx>
      <c:valAx>
        <c:axId val="4684299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2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[Book1.xlsx]Poivt Tables!PivotTable11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'Poivt Tables'!$C$29</c:f>
              <c:strCache>
                <c:ptCount val="1"/>
                <c:pt idx="0">
                  <c:v>Total</c:v>
                </c:pt>
              </c:strCache>
            </c:strRef>
          </c:tx>
          <c:spPr>
            <a:ln w="28575" cap="rnd">
              <a:solidFill>
                <a:schemeClr val="accent1"/>
              </a:solidFill>
              <a:round/>
            </a:ln>
            <a:effectLst/>
          </c:spPr>
          <c:marker>
            <c:symbol val="none"/>
          </c:marker>
          <c:cat>
            <c:strRef>
              <c:f>'Poivt Tables'!$B$30:$B$40</c:f>
              <c:strCache>
                <c:ptCount val="10"/>
                <c:pt idx="0">
                  <c:v>2</c:v>
                </c:pt>
                <c:pt idx="1">
                  <c:v>6</c:v>
                </c:pt>
                <c:pt idx="2">
                  <c:v>9</c:v>
                </c:pt>
                <c:pt idx="3">
                  <c:v>12</c:v>
                </c:pt>
                <c:pt idx="4">
                  <c:v>13</c:v>
                </c:pt>
                <c:pt idx="5">
                  <c:v>15</c:v>
                </c:pt>
                <c:pt idx="6">
                  <c:v>18</c:v>
                </c:pt>
                <c:pt idx="7">
                  <c:v>19</c:v>
                </c:pt>
                <c:pt idx="8">
                  <c:v>20</c:v>
                </c:pt>
                <c:pt idx="9">
                  <c:v>23</c:v>
                </c:pt>
              </c:strCache>
            </c:strRef>
          </c:cat>
          <c:val>
            <c:numRef>
              <c:f>'Poivt Tables'!$C$30:$C$40</c:f>
              <c:numCache>
                <c:formatCode>\$#,##0.00;\(\$#,##0.00\);\$#,##0.00</c:formatCode>
                <c:ptCount val="10"/>
                <c:pt idx="0">
                  <c:v>130108</c:v>
                </c:pt>
                <c:pt idx="1">
                  <c:v>156081</c:v>
                </c:pt>
                <c:pt idx="2">
                  <c:v>141978</c:v>
                </c:pt>
                <c:pt idx="3">
                  <c:v>131492</c:v>
                </c:pt>
                <c:pt idx="4">
                  <c:v>129207</c:v>
                </c:pt>
                <c:pt idx="5">
                  <c:v>133933</c:v>
                </c:pt>
                <c:pt idx="6">
                  <c:v>160422</c:v>
                </c:pt>
                <c:pt idx="7">
                  <c:v>165196</c:v>
                </c:pt>
                <c:pt idx="8">
                  <c:v>143362</c:v>
                </c:pt>
                <c:pt idx="9">
                  <c:v>147179</c:v>
                </c:pt>
              </c:numCache>
            </c:numRef>
          </c:val>
          <c:smooth val="0"/>
          <c:extLst>
            <c:ext xmlns:c16="http://schemas.microsoft.com/office/drawing/2014/chart" uri="{C3380CC4-5D6E-409C-BE32-E72D297353CC}">
              <c16:uniqueId val="{00000000-D6BC-4C66-A7A6-E99E64FF387F}"/>
            </c:ext>
          </c:extLst>
        </c:ser>
        <c:dLbls>
          <c:showLegendKey val="0"/>
          <c:showVal val="0"/>
          <c:showCatName val="0"/>
          <c:showSerName val="0"/>
          <c:showPercent val="0"/>
          <c:showBubbleSize val="0"/>
        </c:dLbls>
        <c:smooth val="0"/>
        <c:axId val="468461616"/>
        <c:axId val="468468336"/>
      </c:lineChart>
      <c:catAx>
        <c:axId val="46846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68336"/>
        <c:crosses val="autoZero"/>
        <c:auto val="1"/>
        <c:lblAlgn val="ctr"/>
        <c:lblOffset val="100"/>
        <c:noMultiLvlLbl val="0"/>
      </c:catAx>
      <c:valAx>
        <c:axId val="4684683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6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6</xdr:row>
      <xdr:rowOff>0</xdr:rowOff>
    </xdr:from>
    <xdr:to>
      <xdr:col>7</xdr:col>
      <xdr:colOff>323850</xdr:colOff>
      <xdr:row>20</xdr:row>
      <xdr:rowOff>76200</xdr:rowOff>
    </xdr:to>
    <xdr:graphicFrame macro="">
      <xdr:nvGraphicFramePr>
        <xdr:cNvPr id="2" name="Chart 1">
          <a:extLst>
            <a:ext uri="{FF2B5EF4-FFF2-40B4-BE49-F238E27FC236}">
              <a16:creationId xmlns:a16="http://schemas.microsoft.com/office/drawing/2014/main" id="{B8761921-E7D0-45B4-89C6-D5647C25B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6</xdr:row>
      <xdr:rowOff>0</xdr:rowOff>
    </xdr:from>
    <xdr:to>
      <xdr:col>14</xdr:col>
      <xdr:colOff>361950</xdr:colOff>
      <xdr:row>20</xdr:row>
      <xdr:rowOff>76200</xdr:rowOff>
    </xdr:to>
    <xdr:graphicFrame macro="">
      <xdr:nvGraphicFramePr>
        <xdr:cNvPr id="3" name="Chart 2">
          <a:extLst>
            <a:ext uri="{FF2B5EF4-FFF2-40B4-BE49-F238E27FC236}">
              <a16:creationId xmlns:a16="http://schemas.microsoft.com/office/drawing/2014/main" id="{AAF903EC-9083-4F74-86BE-90914D307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371475</xdr:colOff>
      <xdr:row>5</xdr:row>
      <xdr:rowOff>171450</xdr:rowOff>
    </xdr:from>
    <xdr:to>
      <xdr:col>22</xdr:col>
      <xdr:colOff>66675</xdr:colOff>
      <xdr:row>20</xdr:row>
      <xdr:rowOff>57150</xdr:rowOff>
    </xdr:to>
    <xdr:graphicFrame macro="">
      <xdr:nvGraphicFramePr>
        <xdr:cNvPr id="4" name="Chart 3">
          <a:extLst>
            <a:ext uri="{FF2B5EF4-FFF2-40B4-BE49-F238E27FC236}">
              <a16:creationId xmlns:a16="http://schemas.microsoft.com/office/drawing/2014/main" id="{B8B26C1A-B6E8-428A-A96E-4E9953E6F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20</xdr:row>
      <xdr:rowOff>47625</xdr:rowOff>
    </xdr:from>
    <xdr:to>
      <xdr:col>7</xdr:col>
      <xdr:colOff>323850</xdr:colOff>
      <xdr:row>34</xdr:row>
      <xdr:rowOff>123825</xdr:rowOff>
    </xdr:to>
    <xdr:graphicFrame macro="">
      <xdr:nvGraphicFramePr>
        <xdr:cNvPr id="5" name="Chart 4">
          <a:extLst>
            <a:ext uri="{FF2B5EF4-FFF2-40B4-BE49-F238E27FC236}">
              <a16:creationId xmlns:a16="http://schemas.microsoft.com/office/drawing/2014/main" id="{D6FBE697-F8C1-49E8-81E2-B7A845180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314325</xdr:colOff>
      <xdr:row>20</xdr:row>
      <xdr:rowOff>47625</xdr:rowOff>
    </xdr:from>
    <xdr:to>
      <xdr:col>14</xdr:col>
      <xdr:colOff>361950</xdr:colOff>
      <xdr:row>34</xdr:row>
      <xdr:rowOff>123825</xdr:rowOff>
    </xdr:to>
    <xdr:graphicFrame macro="">
      <xdr:nvGraphicFramePr>
        <xdr:cNvPr id="6" name="Chart 5">
          <a:extLst>
            <a:ext uri="{FF2B5EF4-FFF2-40B4-BE49-F238E27FC236}">
              <a16:creationId xmlns:a16="http://schemas.microsoft.com/office/drawing/2014/main" id="{B0AAE73E-3300-43DA-BAEC-0165D93C9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358589</xdr:colOff>
      <xdr:row>20</xdr:row>
      <xdr:rowOff>44823</xdr:rowOff>
    </xdr:from>
    <xdr:to>
      <xdr:col>22</xdr:col>
      <xdr:colOff>56030</xdr:colOff>
      <xdr:row>34</xdr:row>
      <xdr:rowOff>121023</xdr:rowOff>
    </xdr:to>
    <xdr:graphicFrame macro="">
      <xdr:nvGraphicFramePr>
        <xdr:cNvPr id="7" name="Chart 6">
          <a:extLst>
            <a:ext uri="{FF2B5EF4-FFF2-40B4-BE49-F238E27FC236}">
              <a16:creationId xmlns:a16="http://schemas.microsoft.com/office/drawing/2014/main" id="{DD211A9A-D252-4BA9-9E74-E57460422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134470</xdr:colOff>
      <xdr:row>20</xdr:row>
      <xdr:rowOff>67235</xdr:rowOff>
    </xdr:from>
    <xdr:to>
      <xdr:col>25</xdr:col>
      <xdr:colOff>147917</xdr:colOff>
      <xdr:row>34</xdr:row>
      <xdr:rowOff>67235</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A535F45F-3C48-4BBE-9CA3-0FDCE8E5D48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447058" y="387723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33619</xdr:colOff>
      <xdr:row>1</xdr:row>
      <xdr:rowOff>0</xdr:rowOff>
    </xdr:from>
    <xdr:to>
      <xdr:col>10</xdr:col>
      <xdr:colOff>11206</xdr:colOff>
      <xdr:row>5</xdr:row>
      <xdr:rowOff>145676</xdr:rowOff>
    </xdr:to>
    <xdr:sp macro="" textlink="'Poivt Tables'!B3">
      <xdr:nvSpPr>
        <xdr:cNvPr id="10" name="Rectangle: Rounded Corners 9">
          <a:extLst>
            <a:ext uri="{FF2B5EF4-FFF2-40B4-BE49-F238E27FC236}">
              <a16:creationId xmlns:a16="http://schemas.microsoft.com/office/drawing/2014/main" id="{6643B8D0-D5EA-4C2F-AA75-61F5288CAAD8}"/>
            </a:ext>
          </a:extLst>
        </xdr:cNvPr>
        <xdr:cNvSpPr/>
      </xdr:nvSpPr>
      <xdr:spPr>
        <a:xfrm>
          <a:off x="3059207" y="190500"/>
          <a:ext cx="3003175" cy="9076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DAD5E0-258C-4489-908E-A1C31F35DF05}" type="TxLink">
            <a:rPr lang="en-US" sz="1800" b="0" i="0" u="none" strike="noStrike">
              <a:solidFill>
                <a:schemeClr val="tx1"/>
              </a:solidFill>
              <a:latin typeface="Aptos Narrow"/>
            </a:rPr>
            <a:pPr algn="ctr"/>
            <a:t>$2,946,302.00</a:t>
          </a:fld>
          <a:endParaRPr lang="en-US" sz="1800" b="0" i="0" u="none" strike="noStrike">
            <a:solidFill>
              <a:schemeClr val="tx1"/>
            </a:solidFill>
            <a:latin typeface="Aptos Narrow"/>
          </a:endParaRPr>
        </a:p>
        <a:p>
          <a:pPr algn="ctr"/>
          <a:r>
            <a:rPr lang="en-US" sz="1600" b="0" i="0" u="none" strike="noStrike">
              <a:solidFill>
                <a:schemeClr val="tx1"/>
              </a:solidFill>
              <a:latin typeface="Aptos Narrow"/>
            </a:rPr>
            <a:t>Total</a:t>
          </a:r>
          <a:r>
            <a:rPr lang="en-US" sz="1600" b="0" i="0" u="none" strike="noStrike" baseline="0">
              <a:solidFill>
                <a:schemeClr val="bg1"/>
              </a:solidFill>
              <a:latin typeface="Aptos Narrow"/>
            </a:rPr>
            <a:t> </a:t>
          </a:r>
          <a:r>
            <a:rPr lang="en-US" sz="1600" b="0" i="0" u="none" strike="noStrike" baseline="0">
              <a:solidFill>
                <a:schemeClr val="tx1"/>
              </a:solidFill>
              <a:latin typeface="Aptos Narrow"/>
            </a:rPr>
            <a:t>Revenue</a:t>
          </a:r>
          <a:endParaRPr lang="en-US" sz="1600">
            <a:solidFill>
              <a:schemeClr val="tx1"/>
            </a:solidFill>
          </a:endParaRPr>
        </a:p>
      </xdr:txBody>
    </xdr:sp>
    <xdr:clientData/>
  </xdr:twoCellAnchor>
  <xdr:twoCellAnchor>
    <xdr:from>
      <xdr:col>10</xdr:col>
      <xdr:colOff>33620</xdr:colOff>
      <xdr:row>0</xdr:row>
      <xdr:rowOff>179295</xdr:rowOff>
    </xdr:from>
    <xdr:to>
      <xdr:col>15</xdr:col>
      <xdr:colOff>22412</xdr:colOff>
      <xdr:row>5</xdr:row>
      <xdr:rowOff>134471</xdr:rowOff>
    </xdr:to>
    <xdr:sp macro="" textlink="">
      <xdr:nvSpPr>
        <xdr:cNvPr id="11" name="Rectangle: Rounded Corners 10">
          <a:extLst>
            <a:ext uri="{FF2B5EF4-FFF2-40B4-BE49-F238E27FC236}">
              <a16:creationId xmlns:a16="http://schemas.microsoft.com/office/drawing/2014/main" id="{F0B681F8-5739-4ED0-B8BD-8931CDD89F15}"/>
            </a:ext>
          </a:extLst>
        </xdr:cNvPr>
        <xdr:cNvSpPr/>
      </xdr:nvSpPr>
      <xdr:spPr>
        <a:xfrm>
          <a:off x="6084796" y="179295"/>
          <a:ext cx="3014381" cy="9076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rPr>
            <a:t>1000</a:t>
          </a:r>
        </a:p>
        <a:p>
          <a:pPr algn="ctr"/>
          <a:r>
            <a:rPr lang="en-US" sz="1800">
              <a:solidFill>
                <a:schemeClr val="tx1"/>
              </a:solidFill>
            </a:rPr>
            <a:t>Tatal of order</a:t>
          </a:r>
        </a:p>
      </xdr:txBody>
    </xdr:sp>
    <xdr:clientData/>
  </xdr:twoCellAnchor>
  <xdr:twoCellAnchor>
    <xdr:from>
      <xdr:col>15</xdr:col>
      <xdr:colOff>44821</xdr:colOff>
      <xdr:row>0</xdr:row>
      <xdr:rowOff>156883</xdr:rowOff>
    </xdr:from>
    <xdr:to>
      <xdr:col>19</xdr:col>
      <xdr:colOff>392205</xdr:colOff>
      <xdr:row>5</xdr:row>
      <xdr:rowOff>112059</xdr:rowOff>
    </xdr:to>
    <xdr:sp macro="" textlink="'Poivt Tables'!C3">
      <xdr:nvSpPr>
        <xdr:cNvPr id="12" name="Rectangle: Rounded Corners 11">
          <a:extLst>
            <a:ext uri="{FF2B5EF4-FFF2-40B4-BE49-F238E27FC236}">
              <a16:creationId xmlns:a16="http://schemas.microsoft.com/office/drawing/2014/main" id="{8D00EBA2-1522-47FD-BAF5-CA35725C0E81}"/>
            </a:ext>
          </a:extLst>
        </xdr:cNvPr>
        <xdr:cNvSpPr/>
      </xdr:nvSpPr>
      <xdr:spPr>
        <a:xfrm>
          <a:off x="9121586" y="156883"/>
          <a:ext cx="2767854" cy="9076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4E7153-3E84-4A59-8A1F-FD07C4216785}" type="TxLink">
            <a:rPr lang="en-US" sz="1800" b="0" i="0" u="none" strike="noStrike">
              <a:solidFill>
                <a:srgbClr val="000000"/>
              </a:solidFill>
              <a:latin typeface="Aptos Narrow"/>
            </a:rPr>
            <a:pPr algn="ctr"/>
            <a:t>5.475609756</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Age Delivery</a:t>
          </a:r>
          <a:r>
            <a:rPr lang="en-US" sz="1100" b="0" i="0" u="none" strike="noStrike">
              <a:solidFill>
                <a:srgbClr val="000000"/>
              </a:solidFill>
              <a:latin typeface="Aptos Narrow"/>
            </a:rPr>
            <a:t> </a:t>
          </a:r>
          <a:r>
            <a:rPr lang="en-US" sz="1800" b="0" i="0" u="none" strike="noStrike">
              <a:solidFill>
                <a:srgbClr val="000000"/>
              </a:solidFill>
              <a:latin typeface="Aptos Narrow"/>
            </a:rPr>
            <a:t>Time</a:t>
          </a:r>
          <a:endParaRPr lang="en-US" sz="1800"/>
        </a:p>
      </xdr:txBody>
    </xdr:sp>
    <xdr:clientData/>
  </xdr:twoCellAnchor>
  <xdr:twoCellAnchor>
    <xdr:from>
      <xdr:col>19</xdr:col>
      <xdr:colOff>414615</xdr:colOff>
      <xdr:row>0</xdr:row>
      <xdr:rowOff>134470</xdr:rowOff>
    </xdr:from>
    <xdr:to>
      <xdr:col>25</xdr:col>
      <xdr:colOff>196273</xdr:colOff>
      <xdr:row>5</xdr:row>
      <xdr:rowOff>89646</xdr:rowOff>
    </xdr:to>
    <xdr:sp macro="" textlink="'Poivt Tables'!G3">
      <xdr:nvSpPr>
        <xdr:cNvPr id="13" name="Rectangle: Rounded Corners 12">
          <a:extLst>
            <a:ext uri="{FF2B5EF4-FFF2-40B4-BE49-F238E27FC236}">
              <a16:creationId xmlns:a16="http://schemas.microsoft.com/office/drawing/2014/main" id="{D8934BE1-7105-48A4-B525-6D67ED1E18F0}"/>
            </a:ext>
          </a:extLst>
        </xdr:cNvPr>
        <xdr:cNvSpPr/>
      </xdr:nvSpPr>
      <xdr:spPr>
        <a:xfrm>
          <a:off x="12040888" y="134470"/>
          <a:ext cx="3453112" cy="8788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15B30F8-9B62-4B5A-B192-181054E8CF94}" type="TxLink">
            <a:rPr lang="en-US" sz="1800" b="0" i="0" u="none" strike="noStrike">
              <a:solidFill>
                <a:srgbClr val="000000"/>
              </a:solidFill>
              <a:latin typeface="Aptos Narrow"/>
            </a:rPr>
            <a:pPr algn="ctr"/>
            <a:t>$3,593.05</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avg customer spent</a:t>
          </a:r>
          <a:endParaRPr lang="en-US" sz="1800"/>
        </a:p>
      </xdr:txBody>
    </xdr:sp>
    <xdr:clientData/>
  </xdr:twoCellAnchor>
  <xdr:twoCellAnchor>
    <xdr:from>
      <xdr:col>0</xdr:col>
      <xdr:colOff>11207</xdr:colOff>
      <xdr:row>0</xdr:row>
      <xdr:rowOff>190499</xdr:rowOff>
    </xdr:from>
    <xdr:to>
      <xdr:col>4</xdr:col>
      <xdr:colOff>593911</xdr:colOff>
      <xdr:row>5</xdr:row>
      <xdr:rowOff>145675</xdr:rowOff>
    </xdr:to>
    <xdr:sp macro="" textlink="">
      <xdr:nvSpPr>
        <xdr:cNvPr id="14" name="Rectangle: Rounded Corners 13">
          <a:extLst>
            <a:ext uri="{FF2B5EF4-FFF2-40B4-BE49-F238E27FC236}">
              <a16:creationId xmlns:a16="http://schemas.microsoft.com/office/drawing/2014/main" id="{F468BBDD-ED6B-4BE4-A31E-6EF12B8942FD}"/>
            </a:ext>
          </a:extLst>
        </xdr:cNvPr>
        <xdr:cNvSpPr/>
      </xdr:nvSpPr>
      <xdr:spPr>
        <a:xfrm>
          <a:off x="11207" y="190499"/>
          <a:ext cx="3003175" cy="9076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a:p>
          <a:pPr algn="r"/>
          <a:r>
            <a:rPr lang="en-US" sz="1600"/>
            <a:t>	</a:t>
          </a:r>
          <a:r>
            <a:rPr lang="en-US" sz="1600" baseline="0"/>
            <a:t>              </a:t>
          </a:r>
          <a:r>
            <a:rPr lang="en-US" sz="1600" b="1" baseline="0"/>
            <a:t>Sales Analysis</a:t>
          </a:r>
        </a:p>
        <a:p>
          <a:pPr algn="l"/>
          <a:endParaRPr lang="en-US" sz="1100"/>
        </a:p>
        <a:p>
          <a:pPr algn="l"/>
          <a:r>
            <a:rPr lang="en-US" sz="1100"/>
            <a:t>                                                      </a:t>
          </a:r>
        </a:p>
      </xdr:txBody>
    </xdr:sp>
    <xdr:clientData/>
  </xdr:twoCellAnchor>
  <xdr:twoCellAnchor editAs="oneCell">
    <xdr:from>
      <xdr:col>22</xdr:col>
      <xdr:colOff>84044</xdr:colOff>
      <xdr:row>5</xdr:row>
      <xdr:rowOff>128308</xdr:rowOff>
    </xdr:from>
    <xdr:to>
      <xdr:col>25</xdr:col>
      <xdr:colOff>179294</xdr:colOff>
      <xdr:row>12</xdr:row>
      <xdr:rowOff>166408</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B78C196D-DA2F-0201-89CF-09575B68141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396632" y="1080808"/>
              <a:ext cx="1910603"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89647</xdr:colOff>
      <xdr:row>13</xdr:row>
      <xdr:rowOff>21852</xdr:rowOff>
    </xdr:from>
    <xdr:to>
      <xdr:col>25</xdr:col>
      <xdr:colOff>156883</xdr:colOff>
      <xdr:row>20</xdr:row>
      <xdr:rowOff>59952</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BB285919-C261-E3F1-CE11-8EF3FEA4FFF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402235" y="2498352"/>
              <a:ext cx="1882589"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168087</xdr:colOff>
      <xdr:row>0</xdr:row>
      <xdr:rowOff>134471</xdr:rowOff>
    </xdr:from>
    <xdr:to>
      <xdr:col>2</xdr:col>
      <xdr:colOff>313765</xdr:colOff>
      <xdr:row>6</xdr:row>
      <xdr:rowOff>89648</xdr:rowOff>
    </xdr:to>
    <xdr:pic>
      <xdr:nvPicPr>
        <xdr:cNvPr id="18" name="Picture 17">
          <a:extLst>
            <a:ext uri="{FF2B5EF4-FFF2-40B4-BE49-F238E27FC236}">
              <a16:creationId xmlns:a16="http://schemas.microsoft.com/office/drawing/2014/main" id="{4AF49ECE-480A-65FB-4419-F69BE592B08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8087" y="134471"/>
          <a:ext cx="1355913" cy="109817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689815" backgroundQuery="1" createdVersion="8" refreshedVersion="8" minRefreshableVersion="3" recordCount="0" supportSubquery="1" supportAdvancedDrill="1" xr:uid="{F46850FE-A110-44FB-8E5A-BECA45C74AB8}">
  <cacheSource type="external" connectionId="9"/>
  <cacheFields count="2">
    <cacheField name="[Measures].[Sum of Revenue]" caption="Sum of Revenue" numFmtId="0" hierarchy="43"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7245373" backgroundQuery="1" createdVersion="8" refreshedVersion="8" minRefreshableVersion="3" recordCount="0" supportSubquery="1" supportAdvancedDrill="1" xr:uid="{B3738533-7DDD-4B52-B64D-EDEAF8F09B1D}">
  <cacheSource type="external" connectionId="9"/>
  <cacheFields count="2">
    <cacheField name="[Measures].[Sum of Revenue]" caption="Sum of Revenue" numFmtId="0" hierarchy="43" level="32767"/>
    <cacheField name="[Orders].[Occasion].[Occasion]" caption="Occasion" numFmtId="0" hierarchy="23" level="1">
      <sharedItems count="6">
        <s v="All Occasions"/>
        <s v="Anniversary"/>
        <s v="Birthday"/>
        <s v="Diwa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7592589" backgroundQuery="1" createdVersion="8" refreshedVersion="8" minRefreshableVersion="3" recordCount="0" supportSubquery="1" supportAdvancedDrill="1" xr:uid="{0BA92BAC-A9F6-453E-9008-D4F2E343BAEA}">
  <cacheSource type="external" connectionId="9"/>
  <cacheFields count="3">
    <cacheField name="[Measures].[Sum of Revenue]" caption="Sum of Revenue" numFmtId="0" hierarchy="43" level="32767"/>
    <cacheField name="[Orders].[Hour].[Hour]" caption="Hour" numFmtId="0" hierarchy="25" level="1">
      <sharedItems containsSemiMixedTypes="0" containsString="0" containsNumber="1" containsInteger="1" minValue="2" maxValue="23" count="10">
        <n v="2"/>
        <n v="6"/>
        <n v="9"/>
        <n v="12"/>
        <n v="13"/>
        <n v="15"/>
        <n v="18"/>
        <n v="19"/>
        <n v="20"/>
        <n v="23"/>
      </sharedItems>
      <extLst>
        <ext xmlns:x15="http://schemas.microsoft.com/office/spreadsheetml/2010/11/main" uri="{4F2E5C28-24EA-4eb8-9CBF-B6C8F9C3D259}">
          <x15:cachedUniqueNames>
            <x15:cachedUniqueName index="0" name="[Orders].[Hour].&amp;[2]"/>
            <x15:cachedUniqueName index="1" name="[Orders].[Hour].&amp;[6]"/>
            <x15:cachedUniqueName index="2" name="[Orders].[Hour].&amp;[9]"/>
            <x15:cachedUniqueName index="3" name="[Orders].[Hour].&amp;[12]"/>
            <x15:cachedUniqueName index="4" name="[Orders].[Hour].&amp;[13]"/>
            <x15:cachedUniqueName index="5" name="[Orders].[Hour].&amp;[15]"/>
            <x15:cachedUniqueName index="6" name="[Orders].[Hour].&amp;[18]"/>
            <x15:cachedUniqueName index="7" name="[Orders].[Hour].&amp;[19]"/>
            <x15:cachedUniqueName index="8" name="[Orders].[Hour].&amp;[20]"/>
            <x15:cachedUniqueName index="9" name="[Orders].[Hour].&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1"/>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7708335" backgroundQuery="1" createdVersion="8" refreshedVersion="8" minRefreshableVersion="3" recordCount="0" supportSubquery="1" supportAdvancedDrill="1" xr:uid="{FE88E16D-C831-4325-8897-2D267F13CFB2}">
  <cacheSource type="external" connectionId="9"/>
  <cacheFields count="2">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7708335" backgroundQuery="1" createdVersion="8" refreshedVersion="8" minRefreshableVersion="3" recordCount="0" supportSubquery="1" supportAdvancedDrill="1" xr:uid="{C3DDC9DF-BACF-4FDC-A64E-B4F4841536AE}">
  <cacheSource type="external" connectionId="9"/>
  <cacheFields count="2">
    <cacheField name="[Measures].[Average of diff_delivery_order]" caption="Average of diff_delivery_order" numFmtId="0" hierarchy="45"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8171297" backgroundQuery="1" createdVersion="8" refreshedVersion="8" minRefreshableVersion="3" recordCount="0" supportSubquery="1" supportAdvancedDrill="1" xr:uid="{D1C7B963-EF87-4842-BAD6-F448A3463CB7}">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851852" backgroundQuery="1" createdVersion="8" refreshedVersion="8" minRefreshableVersion="3" recordCount="0" supportSubquery="1" supportAdvancedDrill="1" xr:uid="{7A11FC3A-1CD3-4AF6-BB5E-F6CDA18D936E}">
  <cacheSource type="external" connectionId="9"/>
  <cacheFields count="3">
    <cacheField name="[Measures].[Sum of Revenue]" caption="Sum of Revenue" numFmtId="0" hierarchy="43" level="32767"/>
    <cacheField name="[Products].[Product_Name].[Product_Name]" caption="Product_Name" numFmtId="0" hierarchy="32" level="1">
      <sharedItems count="5">
        <s v="Deserunt Box"/>
        <s v="Dolores Gift"/>
        <s v="Magnam Set"/>
        <s v="Nostrum Box"/>
        <s v="Quia Gift"/>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8634259" backgroundQuery="1" createdVersion="8" refreshedVersion="8" minRefreshableVersion="3" recordCount="0" supportSubquery="1" supportAdvancedDrill="1" xr:uid="{04F6D8AE-4ADD-4057-87BB-CD6E14C648BE}">
  <cacheSource type="external" connectionId="9"/>
  <cacheFields count="2">
    <cacheField name="[Measures].[Average of Revenue]" caption="Average of Revenue" numFmtId="0" hierarchy="46"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8981482" backgroundQuery="1" createdVersion="8" refreshedVersion="8" minRefreshableVersion="3" recordCount="0" supportSubquery="1" supportAdvancedDrill="1" xr:uid="{ACA96289-59EF-465C-99FE-8661455E3BF8}">
  <cacheSource type="external" connectionId="9"/>
  <cacheFields count="4">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3" level="32767"/>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caption="Day name (Order)" attribute="1" defaultMemberUniqueName="[Orders].[Day name (Order)].[All]" allUniqueName="[Orders].[Day name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cacheHierarchy>
    <cacheHierarchy uniqueName="[Measures].[Sum of diff_delivery_order]" caption="Sum of diff_delivery_order" measure="1" displayFolder="" measureGroup="Orders" count="0" hidden="1"/>
    <cacheHierarchy uniqueName="[Measures].[Average of diff_delivery_order]" caption="Average of diff_delivery_order" measure="1" displayFolder="" measureGroup="Orders" count="0" hidden="1"/>
    <cacheHierarchy uniqueName="[Measures].[Average of Revenue]" caption="Average of Revenue" measure="1" displayFolder="" measureGroup="Orders"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11819328705" backgroundQuery="1" createdVersion="8" refreshedVersion="8" minRefreshableVersion="3" recordCount="0" supportSubquery="1" supportAdvancedDrill="1" xr:uid="{D8ACD500-6062-4644-9B32-FD062AD4FCEE}">
  <cacheSource type="external" connectionId="9"/>
  <cacheFields count="3">
    <cacheField name="[Measures].[Count of Order_ID]" caption="Count of Order_ID" numFmtId="0" hierarchy="48" level="32767"/>
    <cacheField name="[Orders].[Location].[Location]" caption="Location" numFmtId="0" hierarchy="22" level="1">
      <sharedItems count="10">
        <s v="Ballia"/>
        <s v="Bareilly"/>
        <s v="Bhilai"/>
        <s v="Bulandshahr"/>
        <s v="Darbhanga"/>
        <s v="Ghaziabad"/>
        <s v="Hazaribagh"/>
        <s v="Jalna"/>
        <s v="Kamarhati"/>
        <s v="Pallavaram"/>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483637500001" backgroundQuery="1" createdVersion="3" refreshedVersion="8" minRefreshableVersion="3" recordCount="0" supportSubquery="1" supportAdvancedDrill="1" xr:uid="{6431B491-ADB0-4E4A-89CD-8830E9CA8E29}">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1776890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ayman" refreshedDate="46136.50294791667" backgroundQuery="1" createdVersion="3" refreshedVersion="8" minRefreshableVersion="3" recordCount="0" supportSubquery="1" supportAdvancedDrill="1" xr:uid="{8AD6A001-B6AA-479A-88A0-414AC2DF635F}">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572263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99CF0F-88F8-4248-B11C-182E15B5E497}" name="PivotTable11" cacheId="2" applyNumberFormats="0" applyBorderFormats="0" applyFontFormats="0" applyPatternFormats="0" applyAlignmentFormats="0" applyWidthHeightFormats="1" dataCaption="Values" tag="7dfa6f6f-56bb-4908-8dfe-bd82aae328f8" updatedVersion="8" minRefreshableVersion="3" useAutoFormatting="1" itemPrintTitles="1" createdVersion="8" indent="0" outline="1" outlineData="1" multipleFieldFilters="0" chartFormat="9">
  <location ref="B29:C40"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3AE95-C5F8-4AA2-87E1-7B22DD9D148E}" name="PivotTable6" cacheId="6" applyNumberFormats="0" applyBorderFormats="0" applyFontFormats="0" applyPatternFormats="0" applyAlignmentFormats="0" applyWidthHeightFormats="1" dataCaption="Values" tag="dc98d20a-c7c2-48fe-a113-16c19ef5b8ea" updatedVersion="8" minRefreshableVersion="3" useAutoFormatting="1" itemPrintTitles="1" createdVersion="8" indent="0" outline="1" outlineData="1" multipleFieldFilters="0" chartFormat="6">
  <location ref="E5:F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5"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053D5E-E9C6-4722-98CB-61BEDCF1ADC9}" name="PivotTable10" cacheId="1" applyNumberFormats="0" applyBorderFormats="0" applyFontFormats="0" applyPatternFormats="0" applyAlignmentFormats="0" applyWidthHeightFormats="1" dataCaption="Values" tag="239267ce-1ee8-4875-805d-f259dcbecd65" updatedVersion="8" minRefreshableVersion="3" useAutoFormatting="1" itemPrintTitles="1" createdVersion="8" indent="0" outline="1" outlineData="1" multipleFieldFilters="0" chartFormat="5">
  <location ref="H15:I22" firstHeaderRow="1" firstDataRow="1" firstDataCol="1"/>
  <pivotFields count="2">
    <pivotField dataField="1" subtotalTop="0" showAll="0" defaultSubtotal="0"/>
    <pivotField axis="axisRow" allDrilled="1" subtotalTop="0" showAll="0" dataSourceSort="1" defaultSubtotal="0" defaultAttributeDrillState="1">
      <items count="6">
        <item s="1" x="0"/>
        <item s="1" x="1"/>
        <item s="1" x="2"/>
        <item s="1" x="3"/>
        <item s="1" x="4"/>
        <item s="1" x="5"/>
      </items>
    </pivotField>
  </pivotFields>
  <rowFields count="1">
    <field x="1"/>
  </rowFields>
  <rowItems count="7">
    <i>
      <x/>
    </i>
    <i>
      <x v="1"/>
    </i>
    <i>
      <x v="2"/>
    </i>
    <i>
      <x v="3"/>
    </i>
    <i>
      <x v="4"/>
    </i>
    <i>
      <x v="5"/>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6514FA-91E8-4114-964E-BD5230E44BC2}" name="PivotTable5" cacheId="5" applyNumberFormats="0" applyBorderFormats="0" applyFontFormats="0" applyPatternFormats="0" applyAlignmentFormats="0" applyWidthHeightFormats="1" dataCaption="Values" tag="117f911a-f706-494a-80ae-29bae07df0cd" updatedVersion="8" minRefreshableVersion="3" useAutoFormatting="1" itemPrintTitles="1" createdVersion="8" indent="0" outline="1" outlineData="1" multipleFieldFilters="0" chartFormat="9">
  <location ref="B5:C18"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9A0110-1633-4400-BDED-07CB8EFE01E7}" name="PivotTable4" cacheId="4" applyNumberFormats="0" applyBorderFormats="0" applyFontFormats="0" applyPatternFormats="0" applyAlignmentFormats="0" applyWidthHeightFormats="1" dataCaption="Values" tag="9d542331-809d-450c-a991-8e0266e65076" updatedVersion="8" minRefreshableVersion="3" useAutoFormatting="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delivery_order"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271BE9-97DC-4B69-8C47-2E18FE8C4002}" name="PivotTable9" cacheId="9" applyNumberFormats="0" applyBorderFormats="0" applyFontFormats="0" applyPatternFormats="0" applyAlignmentFormats="0" applyWidthHeightFormats="1" dataCaption="Values" tag="52bb79de-22d1-4279-97ca-69065dc2cbc4" updatedVersion="8" minRefreshableVersion="3" useAutoFormatting="1" itemPrintTitles="1" createdVersion="8" indent="0" outline="1" outlineData="1" multipleFieldFilters="0" chartFormat="5">
  <location ref="E14:F25"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Row="0" dragToCol="0" dragToPage="0"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1722BD-355B-4429-AD70-27BB922BC7D3}" name="PivotTable3" cacheId="0" applyNumberFormats="0" applyBorderFormats="0" applyFontFormats="0" applyPatternFormats="0" applyAlignmentFormats="0" applyWidthHeightFormats="1" dataCaption="Values" tag="f4ad478a-61b1-4e23-ae63-ed156dbf4c9d" updatedVersion="8" minRefreshableVersion="3" useAutoFormatting="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261C66-DF28-4E72-B820-25DAF1293EDF}" name="PivotTable8" cacheId="8" applyNumberFormats="0" applyBorderFormats="0" applyFontFormats="0" applyPatternFormats="0" applyAlignmentFormats="0" applyWidthHeightFormats="1" dataCaption="Values" tag="0f58ab30-9e41-4dc2-8acc-9ccf81d076b3" updatedVersion="8" minRefreshableVersion="5" useAutoFormatting="1" itemPrintTitles="1" createdVersion="8" indent="0" outline="1" outlineData="1" multipleFieldFilters="0" chartFormat="5">
  <location ref="H5:I13"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328CEC-57C6-4402-96C6-CE93E5B701C6}" name="PivotTable7" cacheId="7" applyNumberFormats="0" applyBorderFormats="0" applyFontFormats="0" applyPatternFormats="0" applyAlignmentFormats="0" applyWidthHeightFormats="1" dataCaption="Values" tag="8021e602-b1af-4131-8921-1936ecc639ee" updatedVersion="8" minRefreshableVersion="3" useAutoFormatting="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2E5D2A-32ED-4CAD-9CED-2CE5703B75E8}" name="PivotTable15" cacheId="3" applyNumberFormats="0" applyBorderFormats="0" applyFontFormats="0" applyPatternFormats="0" applyAlignmentFormats="0" applyWidthHeightFormats="1" dataCaption="Values" tag="76756e3d-c66a-4182-8d8c-3aea6a4e0592" updatedVersion="8" minRefreshableVersion="3" useAutoFormatting="1" itemPrintTitles="1" createdVersion="8" indent="0" outline="1" outlineData="1" multipleFieldFilters="0">
  <location ref="N11:N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Birthday]"/>
        <member name="[Orders].[Occasion].&amp;[Diwa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Product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57D099C-5F8E-401C-92BA-231563F6E80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7F0FA4D-9E4A-40D7-8969-D4F4366268D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BDD9718-5962-4D5D-93F9-0D3F873769BE}"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delivery_order" tableColumnId="13"/>
      <queryTableField id="14" name="Hour[delivery]" tableColumnId="14"/>
      <queryTableField id="15" name="Products.Price (INR)" tableColumnId="15"/>
      <queryTableField id="16" name="Revenue" tableColumnId="16"/>
      <queryTableField id="18" name="Day name (Order)"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DC260C7-8CC0-409A-B1F4-FA435D2E67F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2D52BC8-F32C-45AA-8C54-967A56ED5C91}" sourceName="[Orders].[Occasion]">
  <pivotTables>
    <pivotTable tabId="6" name="PivotTable3"/>
    <pivotTable tabId="6" name="PivotTable10"/>
    <pivotTable tabId="6" name="PivotTable11"/>
    <pivotTable tabId="6" name="PivotTable15"/>
    <pivotTable tabId="6" name="PivotTable4"/>
    <pivotTable tabId="6" name="PivotTable5"/>
    <pivotTable tabId="6" name="PivotTable6"/>
    <pivotTable tabId="6" name="PivotTable7"/>
    <pivotTable tabId="6" name="PivotTable8"/>
    <pivotTable tabId="6" name="PivotTable9"/>
  </pivotTables>
  <data>
    <olap pivotCacheId="141776890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6">
        <selection n="[Orders].[Occasion].&amp;[All Occasions]"/>
        <selection n="[Orders].[Occasion].&amp;[Anniversary]"/>
        <selection n="[Orders].[Occasion].&amp;[Birthday]"/>
        <selection n="[Orders].[Occasion].&amp;[Diwali]"/>
        <selection n="[Orders].[Occasion].&amp;[Raksha Bandhan]"/>
        <selection n="[Order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315EA4D-F90E-456C-9811-053DCCDFDFC4}"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E02ADC-ABB5-4A78-AA41-0BE0FD1DF49B}" name="fnp_datasets" displayName="fnp_datasets" ref="A1:F4" tableType="queryTable" totalsRowShown="0">
  <autoFilter ref="A1:F4" xr:uid="{ADE02ADC-ABB5-4A78-AA41-0BE0FD1DF49B}"/>
  <tableColumns count="6">
    <tableColumn id="1" xr3:uid="{9607D53E-14C3-4C61-B153-99380497AB7D}" uniqueName="1" name="Name" queryTableFieldId="1" dataDxfId="23"/>
    <tableColumn id="2" xr3:uid="{489D1976-BFD5-4C4D-AED2-F20531B866F5}" uniqueName="2" name="Extension" queryTableFieldId="2" dataDxfId="22"/>
    <tableColumn id="3" xr3:uid="{1701F49E-80ED-44F7-8BC0-C80D7A3DB99B}" uniqueName="3" name="Date accessed" queryTableFieldId="3" dataDxfId="21"/>
    <tableColumn id="4" xr3:uid="{CBCBECEA-6E86-48B1-8274-89C983371570}" uniqueName="4" name="Date modified" queryTableFieldId="4" dataDxfId="20"/>
    <tableColumn id="5" xr3:uid="{DC489CD3-CA6B-412B-9651-F5B6BBAC6752}" uniqueName="5" name="Date created" queryTableFieldId="5" dataDxfId="19"/>
    <tableColumn id="6" xr3:uid="{1C64F930-3481-41A4-8534-C45ED6580EDD}"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8FF9B1-6039-4B86-9C48-11568140B2F8}" name="Customers" displayName="Customers" ref="A1:G101" tableType="queryTable" totalsRowShown="0">
  <autoFilter ref="A1:G101" xr:uid="{F48FF9B1-6039-4B86-9C48-11568140B2F8}"/>
  <tableColumns count="7">
    <tableColumn id="1" xr3:uid="{08987E0C-50C2-4074-A5D4-9032704820C1}" uniqueName="1" name="Customer_ID" queryTableFieldId="1" dataDxfId="17"/>
    <tableColumn id="2" xr3:uid="{7C6B8709-EC7D-4875-A725-0D5283C373CE}" uniqueName="2" name="Name" queryTableFieldId="2" dataDxfId="16"/>
    <tableColumn id="3" xr3:uid="{88C44359-8B2F-423C-9E00-46247B0DAE37}" uniqueName="3" name="City" queryTableFieldId="3" dataDxfId="15"/>
    <tableColumn id="4" xr3:uid="{BC2B0FB1-1D1E-4999-B5F8-02EBCAE0B546}" uniqueName="4" name="Contact_Number" queryTableFieldId="4" dataDxfId="14"/>
    <tableColumn id="5" xr3:uid="{44EAA168-AC0D-484F-9917-565BE4A3EBA6}" uniqueName="5" name="Email" queryTableFieldId="5" dataDxfId="13"/>
    <tableColumn id="6" xr3:uid="{D95C7A90-C707-41A1-A606-0DE721B06142}" uniqueName="6" name="Gender" queryTableFieldId="6" dataDxfId="12"/>
    <tableColumn id="7" xr3:uid="{119C1469-B303-40D6-8F1A-B15C6695726C}" uniqueName="7" name="Address" queryTableFieldId="7" dataDxfId="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E9DE8B-E1D1-4FDE-B07E-26695E0C47CD}" name="Orders" displayName="Orders" ref="A1:Q1001" tableType="queryTable" totalsRowShown="0">
  <autoFilter ref="A1:Q1001" xr:uid="{9CE9DE8B-E1D1-4FDE-B07E-26695E0C47CD}"/>
  <tableColumns count="17">
    <tableColumn id="1" xr3:uid="{EEECA057-6025-48E5-9F62-6544363C6A0C}" uniqueName="1" name="Order_ID" queryTableFieldId="1"/>
    <tableColumn id="2" xr3:uid="{0B38D166-8F71-4FC8-ACBC-63DFBAE4A557}" uniqueName="2" name="Customer_ID" queryTableFieldId="2" dataDxfId="10"/>
    <tableColumn id="3" xr3:uid="{A67DA8EA-EF50-4C51-9B0D-13BED7B43868}" uniqueName="3" name="Product_ID" queryTableFieldId="3"/>
    <tableColumn id="4" xr3:uid="{573B72E5-BAEC-4052-BA81-FA6D8D6CD310}" uniqueName="4" name="Quantity" queryTableFieldId="4"/>
    <tableColumn id="5" xr3:uid="{BBF4E79F-54BF-415B-94A9-ED22EE9260EA}" uniqueName="5" name="Order_Date" queryTableFieldId="5" dataDxfId="9"/>
    <tableColumn id="6" xr3:uid="{B0884B47-227D-4661-9C54-B79E7146FD52}" uniqueName="6" name="Order_Time" queryTableFieldId="6" dataDxfId="8"/>
    <tableColumn id="7" xr3:uid="{1F226B03-72F5-433C-9EC9-816B0BD78FBE}" uniqueName="7" name="Delivery_Date" queryTableFieldId="7" dataDxfId="7"/>
    <tableColumn id="8" xr3:uid="{A97D75BA-0E4C-4D05-8290-5CF6AD7CAB4D}" uniqueName="8" name="Delivery_Time" queryTableFieldId="8" dataDxfId="6"/>
    <tableColumn id="9" xr3:uid="{A94DA1A7-00BF-4884-A9EF-90F0B0E0EE67}" uniqueName="9" name="Location" queryTableFieldId="9" dataDxfId="5"/>
    <tableColumn id="10" xr3:uid="{0991ACA5-E9F1-449E-8F67-B1FE3B50C4C8}" uniqueName="10" name="Occasion" queryTableFieldId="10" dataDxfId="4"/>
    <tableColumn id="11" xr3:uid="{3CFC46ED-98A4-4278-A268-085F0DA6B8DF}" uniqueName="11" name="Month Name" queryTableFieldId="11" dataDxfId="3"/>
    <tableColumn id="12" xr3:uid="{0E75BF8A-AF8E-4D6F-B007-4F4BB872CABB}" uniqueName="12" name="Hour" queryTableFieldId="12"/>
    <tableColumn id="13" xr3:uid="{CC8EC422-B809-4A62-A86D-30C687742A9E}" uniqueName="13" name="diff_delivery_order" queryTableFieldId="13"/>
    <tableColumn id="14" xr3:uid="{B67DFF8F-8B88-4562-B8F3-29C1473D1903}" uniqueName="14" name="Hour[delivery]" queryTableFieldId="14"/>
    <tableColumn id="15" xr3:uid="{BFC26EE2-55F5-4D4B-8EC0-E3B68903078B}" uniqueName="15" name="Products.Price (INR)" queryTableFieldId="15"/>
    <tableColumn id="16" xr3:uid="{72472648-18C8-414D-9249-6EAAB3EAC9D4}" uniqueName="16" name="Revenue" queryTableFieldId="16"/>
    <tableColumn id="18" xr3:uid="{CED5E9BC-CD52-4962-B4F1-A2E287207BD4}" uniqueName="18" name="Day name (Order)" queryTableField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022A4F-CDE9-4C2F-B4F8-755934556745}" name="Products" displayName="Products" ref="A1:E71" tableType="queryTable" totalsRowShown="0">
  <autoFilter ref="A1:E71" xr:uid="{DF022A4F-CDE9-4C2F-B4F8-755934556745}"/>
  <tableColumns count="5">
    <tableColumn id="1" xr3:uid="{65EF0088-C4BC-4301-8339-D672CF3EBFF5}" uniqueName="1" name="Product_ID" queryTableFieldId="1"/>
    <tableColumn id="2" xr3:uid="{E0FED3D1-32C9-43F0-9925-05DEA6359910}" uniqueName="2" name="Product_Name" queryTableFieldId="2" dataDxfId="2"/>
    <tableColumn id="3" xr3:uid="{20CB1170-3923-4051-8CC6-8A9B64D79D56}" uniqueName="3" name="Category" queryTableFieldId="3" dataDxfId="1"/>
    <tableColumn id="4" xr3:uid="{733FDB5E-F0E6-496D-96B6-1791DC363EC2}" uniqueName="4" name="Price (INR)" queryTableFieldId="4"/>
    <tableColumn id="5" xr3:uid="{A4C891DE-2D0A-4776-81FE-BDFBD721E2B7}" uniqueName="5" name="Occasion" queryTableFieldId="5" dataDxfId="0"/>
  </tableColumns>
  <tableStyleInfo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0E0CA49-39C3-4E57-99B4-865E7B04EF8E}" sourceName="[Orders].[Delivery_Date]">
  <pivotTables>
    <pivotTable tabId="6" name="PivotTable8"/>
  </pivotTables>
  <state minimalRefreshVersion="6" lastRefreshVersion="6" pivotCacheId="57226343"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9609527-85B0-46CE-A465-B30E27E7A3D2}" sourceName="[Orders].[Order_Date]">
  <pivotTables>
    <pivotTable tabId="6" name="PivotTable8"/>
  </pivotTables>
  <state minimalRefreshVersion="6" lastRefreshVersion="6" pivotCacheId="5722634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6308C8C8-5660-452C-9324-D5365B859426}" cache="Timeline_Delivery_Date" caption="Delivery_Date" level="2" selectionLevel="2" scrollPosition="2024-05-19T00:00:00"/>
  <timeline name="Order_Date" xr10:uid="{98162D48-67CC-457B-A318-FA51512FDC3A}" cache="Timeline_Order_Date" caption="Order_Date" level="2" selectionLevel="2" scrollPosition="2023-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32D7-BCF3-4D4A-8962-1B3A146DAF4F}">
  <dimension ref="A1:F4"/>
  <sheetViews>
    <sheetView workbookViewId="0">
      <selection sqref="A1:F4"/>
    </sheetView>
  </sheetViews>
  <sheetFormatPr defaultRowHeight="14.5" x14ac:dyDescent="0.35"/>
  <cols>
    <col min="1" max="1" width="13.81640625" bestFit="1" customWidth="1"/>
    <col min="2" max="2" width="12.26953125" bestFit="1" customWidth="1"/>
    <col min="3" max="3" width="16.54296875" bestFit="1" customWidth="1"/>
    <col min="4" max="4" width="16.26953125" bestFit="1" customWidth="1"/>
    <col min="5" max="5" width="14.81640625" bestFit="1" customWidth="1"/>
    <col min="6" max="6" width="40.7265625" bestFit="1" customWidth="1"/>
  </cols>
  <sheetData>
    <row r="1" spans="1:6" x14ac:dyDescent="0.35">
      <c r="A1" t="s">
        <v>0</v>
      </c>
      <c r="B1" t="s">
        <v>1</v>
      </c>
      <c r="C1" t="s">
        <v>2</v>
      </c>
      <c r="D1" t="s">
        <v>3</v>
      </c>
      <c r="E1" t="s">
        <v>4</v>
      </c>
      <c r="F1" t="s">
        <v>5</v>
      </c>
    </row>
    <row r="2" spans="1:6" x14ac:dyDescent="0.35">
      <c r="A2" t="s">
        <v>6</v>
      </c>
      <c r="B2" t="s">
        <v>7</v>
      </c>
      <c r="C2" s="1">
        <v>46134.802514891977</v>
      </c>
      <c r="D2" s="1">
        <v>46134.800938695989</v>
      </c>
      <c r="E2" s="1">
        <v>46134.802286149694</v>
      </c>
      <c r="F2" t="s">
        <v>8</v>
      </c>
    </row>
    <row r="3" spans="1:6" x14ac:dyDescent="0.35">
      <c r="A3" t="s">
        <v>9</v>
      </c>
      <c r="B3" t="s">
        <v>7</v>
      </c>
      <c r="C3" s="1">
        <v>46134.80480455247</v>
      </c>
      <c r="D3" s="1">
        <v>46134.80480455247</v>
      </c>
      <c r="E3" s="1">
        <v>46134.802286072532</v>
      </c>
      <c r="F3" t="s">
        <v>8</v>
      </c>
    </row>
    <row r="4" spans="1:6" x14ac:dyDescent="0.35">
      <c r="A4" t="s">
        <v>10</v>
      </c>
      <c r="B4" t="s">
        <v>7</v>
      </c>
      <c r="C4" s="1">
        <v>46134.803455979942</v>
      </c>
      <c r="D4" s="1">
        <v>46134.803455979942</v>
      </c>
      <c r="E4" s="1">
        <v>46134.802285918209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6FDD-43E5-49F4-A71E-3365DC8FFD20}">
  <dimension ref="A1:G101"/>
  <sheetViews>
    <sheetView workbookViewId="0">
      <selection activeCell="E13" sqref="E13"/>
    </sheetView>
  </sheetViews>
  <sheetFormatPr defaultRowHeight="14.5" x14ac:dyDescent="0.35"/>
  <cols>
    <col min="1" max="1" width="14.453125" bestFit="1" customWidth="1"/>
    <col min="2" max="2" width="24.1796875" bestFit="1" customWidth="1"/>
    <col min="3" max="3" width="27.453125" bestFit="1" customWidth="1"/>
    <col min="4" max="4" width="18.1796875" bestFit="1" customWidth="1"/>
    <col min="5" max="5" width="41.453125" bestFit="1" customWidth="1"/>
    <col min="6" max="6" width="9.54296875" bestFit="1" customWidth="1"/>
    <col min="7" max="7" width="49"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20A5-98D2-4353-9F42-F38206E1766A}">
  <dimension ref="A1:Q1001"/>
  <sheetViews>
    <sheetView workbookViewId="0">
      <selection activeCell="B26" sqref="B26"/>
    </sheetView>
  </sheetViews>
  <sheetFormatPr defaultRowHeight="14.5" x14ac:dyDescent="0.35"/>
  <cols>
    <col min="1" max="1" width="11" bestFit="1" customWidth="1"/>
    <col min="2" max="2" width="14.453125" bestFit="1" customWidth="1"/>
    <col min="3" max="3" width="12.81640625" bestFit="1" customWidth="1"/>
    <col min="4" max="4" width="10.7265625" bestFit="1" customWidth="1"/>
    <col min="5" max="5" width="13.1796875" bestFit="1" customWidth="1"/>
    <col min="6" max="6" width="13.453125" bestFit="1" customWidth="1"/>
    <col min="7" max="7" width="15" bestFit="1" customWidth="1"/>
    <col min="8" max="8" width="15.453125" bestFit="1" customWidth="1"/>
    <col min="9" max="9" width="27.453125" bestFit="1" customWidth="1"/>
    <col min="10" max="10" width="16.1796875" bestFit="1" customWidth="1"/>
    <col min="11" max="11" width="14.54296875" bestFit="1" customWidth="1"/>
    <col min="12" max="12" width="7.54296875" bestFit="1" customWidth="1"/>
    <col min="13" max="13" width="19.54296875" bestFit="1" customWidth="1"/>
    <col min="14" max="14" width="15.54296875" bestFit="1" customWidth="1"/>
    <col min="15" max="15" width="21.453125" bestFit="1" customWidth="1"/>
    <col min="16" max="16" width="10.54296875" bestFit="1" customWidth="1"/>
    <col min="17" max="17" width="19" bestFit="1" customWidth="1"/>
    <col min="18" max="18" width="21.72656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943</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2D8B1-41FD-4729-B5CC-3FD84F36911E}">
  <dimension ref="A1:E71"/>
  <sheetViews>
    <sheetView workbookViewId="0">
      <selection activeCell="A6" sqref="A6"/>
    </sheetView>
  </sheetViews>
  <sheetFormatPr defaultColWidth="18" defaultRowHeight="14.5" x14ac:dyDescent="0.35"/>
  <cols>
    <col min="1" max="1" width="12.81640625" bestFit="1" customWidth="1"/>
    <col min="2" max="2" width="19" bestFit="1" customWidth="1"/>
    <col min="3" max="3" width="16.1796875" bestFit="1" customWidth="1"/>
    <col min="4" max="4" width="12.7265625" bestFit="1" customWidth="1"/>
    <col min="5" max="5" width="16.1796875" bestFit="1" customWidth="1"/>
  </cols>
  <sheetData>
    <row r="1" spans="1:5" x14ac:dyDescent="0.35">
      <c r="A1" t="s">
        <v>606</v>
      </c>
      <c r="B1" t="s">
        <v>856</v>
      </c>
      <c r="C1" t="s">
        <v>857</v>
      </c>
      <c r="D1" t="s">
        <v>858</v>
      </c>
      <c r="E1" t="s">
        <v>613</v>
      </c>
    </row>
    <row r="2" spans="1:5" x14ac:dyDescent="0.35">
      <c r="A2">
        <v>1</v>
      </c>
      <c r="B2" t="s">
        <v>859</v>
      </c>
      <c r="C2" t="s">
        <v>860</v>
      </c>
      <c r="D2">
        <v>1935</v>
      </c>
      <c r="E2" t="s">
        <v>699</v>
      </c>
    </row>
    <row r="3" spans="1:5" x14ac:dyDescent="0.35">
      <c r="A3">
        <v>2</v>
      </c>
      <c r="B3" t="s">
        <v>861</v>
      </c>
      <c r="C3" t="s">
        <v>862</v>
      </c>
      <c r="D3">
        <v>441</v>
      </c>
      <c r="E3" t="s">
        <v>620</v>
      </c>
    </row>
    <row r="4" spans="1:5" x14ac:dyDescent="0.35">
      <c r="A4">
        <v>3</v>
      </c>
      <c r="B4" t="s">
        <v>863</v>
      </c>
      <c r="C4" t="s">
        <v>864</v>
      </c>
      <c r="D4">
        <v>1534</v>
      </c>
      <c r="E4" t="s">
        <v>620</v>
      </c>
    </row>
    <row r="5" spans="1:5" x14ac:dyDescent="0.35">
      <c r="A5">
        <v>4</v>
      </c>
      <c r="B5" t="s">
        <v>865</v>
      </c>
      <c r="C5" t="s">
        <v>866</v>
      </c>
      <c r="D5">
        <v>1199</v>
      </c>
      <c r="E5" t="s">
        <v>829</v>
      </c>
    </row>
    <row r="6" spans="1:5" x14ac:dyDescent="0.35">
      <c r="A6">
        <v>5</v>
      </c>
      <c r="B6" t="s">
        <v>867</v>
      </c>
      <c r="C6" t="s">
        <v>864</v>
      </c>
      <c r="D6">
        <v>1444</v>
      </c>
      <c r="E6" t="s">
        <v>699</v>
      </c>
    </row>
    <row r="7" spans="1:5" x14ac:dyDescent="0.35">
      <c r="A7">
        <v>6</v>
      </c>
      <c r="B7" t="s">
        <v>868</v>
      </c>
      <c r="C7" t="s">
        <v>869</v>
      </c>
      <c r="D7">
        <v>1112</v>
      </c>
      <c r="E7" t="s">
        <v>701</v>
      </c>
    </row>
    <row r="8" spans="1:5" x14ac:dyDescent="0.35">
      <c r="A8">
        <v>7</v>
      </c>
      <c r="B8" t="s">
        <v>870</v>
      </c>
      <c r="C8" t="s">
        <v>860</v>
      </c>
      <c r="D8">
        <v>409</v>
      </c>
      <c r="E8" t="s">
        <v>701</v>
      </c>
    </row>
    <row r="9" spans="1:5" x14ac:dyDescent="0.35">
      <c r="A9">
        <v>8</v>
      </c>
      <c r="B9" t="s">
        <v>871</v>
      </c>
      <c r="C9" t="s">
        <v>866</v>
      </c>
      <c r="D9">
        <v>252</v>
      </c>
      <c r="E9" t="s">
        <v>698</v>
      </c>
    </row>
    <row r="10" spans="1:5" x14ac:dyDescent="0.35">
      <c r="A10">
        <v>9</v>
      </c>
      <c r="B10" t="s">
        <v>872</v>
      </c>
      <c r="C10" t="s">
        <v>864</v>
      </c>
      <c r="D10">
        <v>1605</v>
      </c>
      <c r="E10" t="s">
        <v>794</v>
      </c>
    </row>
    <row r="11" spans="1:5" x14ac:dyDescent="0.35">
      <c r="A11">
        <v>10</v>
      </c>
      <c r="B11" t="s">
        <v>873</v>
      </c>
      <c r="C11" t="s">
        <v>869</v>
      </c>
      <c r="D11">
        <v>259</v>
      </c>
      <c r="E11" t="s">
        <v>707</v>
      </c>
    </row>
    <row r="12" spans="1:5" x14ac:dyDescent="0.35">
      <c r="A12">
        <v>11</v>
      </c>
      <c r="B12" t="s">
        <v>874</v>
      </c>
      <c r="C12" t="s">
        <v>875</v>
      </c>
      <c r="D12">
        <v>1096</v>
      </c>
      <c r="E12" t="s">
        <v>620</v>
      </c>
    </row>
    <row r="13" spans="1:5" x14ac:dyDescent="0.35">
      <c r="A13">
        <v>12</v>
      </c>
      <c r="B13" t="s">
        <v>876</v>
      </c>
      <c r="C13" t="s">
        <v>862</v>
      </c>
      <c r="D13">
        <v>672</v>
      </c>
      <c r="E13" t="s">
        <v>698</v>
      </c>
    </row>
    <row r="14" spans="1:5" x14ac:dyDescent="0.35">
      <c r="A14">
        <v>13</v>
      </c>
      <c r="B14" t="s">
        <v>877</v>
      </c>
      <c r="C14" t="s">
        <v>875</v>
      </c>
      <c r="D14">
        <v>1141</v>
      </c>
      <c r="E14" t="s">
        <v>701</v>
      </c>
    </row>
    <row r="15" spans="1:5" x14ac:dyDescent="0.35">
      <c r="A15">
        <v>14</v>
      </c>
      <c r="B15" t="s">
        <v>878</v>
      </c>
      <c r="C15" t="s">
        <v>864</v>
      </c>
      <c r="D15">
        <v>1915</v>
      </c>
      <c r="E15" t="s">
        <v>707</v>
      </c>
    </row>
    <row r="16" spans="1:5" x14ac:dyDescent="0.35">
      <c r="A16">
        <v>15</v>
      </c>
      <c r="B16" t="s">
        <v>879</v>
      </c>
      <c r="C16" t="s">
        <v>794</v>
      </c>
      <c r="D16">
        <v>1488</v>
      </c>
      <c r="E16" t="s">
        <v>698</v>
      </c>
    </row>
    <row r="17" spans="1:5" x14ac:dyDescent="0.35">
      <c r="A17">
        <v>16</v>
      </c>
      <c r="B17" t="s">
        <v>880</v>
      </c>
      <c r="C17" t="s">
        <v>866</v>
      </c>
      <c r="D17">
        <v>1721</v>
      </c>
      <c r="E17" t="s">
        <v>701</v>
      </c>
    </row>
    <row r="18" spans="1:5" x14ac:dyDescent="0.35">
      <c r="A18">
        <v>17</v>
      </c>
      <c r="B18" t="s">
        <v>881</v>
      </c>
      <c r="C18" t="s">
        <v>860</v>
      </c>
      <c r="D18">
        <v>1899</v>
      </c>
      <c r="E18" t="s">
        <v>698</v>
      </c>
    </row>
    <row r="19" spans="1:5" x14ac:dyDescent="0.35">
      <c r="A19">
        <v>18</v>
      </c>
      <c r="B19" t="s">
        <v>882</v>
      </c>
      <c r="C19" t="s">
        <v>862</v>
      </c>
      <c r="D19">
        <v>781</v>
      </c>
      <c r="E19" t="s">
        <v>707</v>
      </c>
    </row>
    <row r="20" spans="1:5" x14ac:dyDescent="0.35">
      <c r="A20">
        <v>19</v>
      </c>
      <c r="B20" t="s">
        <v>883</v>
      </c>
      <c r="C20" t="s">
        <v>875</v>
      </c>
      <c r="D20">
        <v>1234</v>
      </c>
      <c r="E20" t="s">
        <v>620</v>
      </c>
    </row>
    <row r="21" spans="1:5" x14ac:dyDescent="0.35">
      <c r="A21">
        <v>20</v>
      </c>
      <c r="B21" t="s">
        <v>884</v>
      </c>
      <c r="C21" t="s">
        <v>864</v>
      </c>
      <c r="D21">
        <v>697</v>
      </c>
      <c r="E21" t="s">
        <v>698</v>
      </c>
    </row>
    <row r="22" spans="1:5" x14ac:dyDescent="0.35">
      <c r="A22">
        <v>21</v>
      </c>
      <c r="B22" t="s">
        <v>885</v>
      </c>
      <c r="C22" t="s">
        <v>864</v>
      </c>
      <c r="D22">
        <v>1561</v>
      </c>
      <c r="E22" t="s">
        <v>794</v>
      </c>
    </row>
    <row r="23" spans="1:5" x14ac:dyDescent="0.35">
      <c r="A23">
        <v>22</v>
      </c>
      <c r="B23" t="s">
        <v>886</v>
      </c>
      <c r="C23" t="s">
        <v>860</v>
      </c>
      <c r="D23">
        <v>1639</v>
      </c>
      <c r="E23" t="s">
        <v>699</v>
      </c>
    </row>
    <row r="24" spans="1:5" x14ac:dyDescent="0.35">
      <c r="A24">
        <v>23</v>
      </c>
      <c r="B24" t="s">
        <v>887</v>
      </c>
      <c r="C24" t="s">
        <v>866</v>
      </c>
      <c r="D24">
        <v>1098</v>
      </c>
      <c r="E24" t="s">
        <v>698</v>
      </c>
    </row>
    <row r="25" spans="1:5" x14ac:dyDescent="0.35">
      <c r="A25">
        <v>24</v>
      </c>
      <c r="B25" t="s">
        <v>888</v>
      </c>
      <c r="C25" t="s">
        <v>875</v>
      </c>
      <c r="D25">
        <v>535</v>
      </c>
      <c r="E25" t="s">
        <v>707</v>
      </c>
    </row>
    <row r="26" spans="1:5" x14ac:dyDescent="0.35">
      <c r="A26">
        <v>25</v>
      </c>
      <c r="B26" t="s">
        <v>889</v>
      </c>
      <c r="C26" t="s">
        <v>862</v>
      </c>
      <c r="D26">
        <v>1202</v>
      </c>
      <c r="E26" t="s">
        <v>698</v>
      </c>
    </row>
    <row r="27" spans="1:5" x14ac:dyDescent="0.35">
      <c r="A27">
        <v>26</v>
      </c>
      <c r="B27" t="s">
        <v>890</v>
      </c>
      <c r="C27" t="s">
        <v>864</v>
      </c>
      <c r="D27">
        <v>289</v>
      </c>
      <c r="E27" t="s">
        <v>701</v>
      </c>
    </row>
    <row r="28" spans="1:5" x14ac:dyDescent="0.35">
      <c r="A28">
        <v>27</v>
      </c>
      <c r="B28" t="s">
        <v>891</v>
      </c>
      <c r="C28" t="s">
        <v>869</v>
      </c>
      <c r="D28">
        <v>548</v>
      </c>
      <c r="E28" t="s">
        <v>794</v>
      </c>
    </row>
    <row r="29" spans="1:5" x14ac:dyDescent="0.35">
      <c r="A29">
        <v>28</v>
      </c>
      <c r="B29" t="s">
        <v>892</v>
      </c>
      <c r="C29" t="s">
        <v>866</v>
      </c>
      <c r="D29">
        <v>1778</v>
      </c>
      <c r="E29" t="s">
        <v>794</v>
      </c>
    </row>
    <row r="30" spans="1:5" x14ac:dyDescent="0.35">
      <c r="A30">
        <v>29</v>
      </c>
      <c r="B30" t="s">
        <v>893</v>
      </c>
      <c r="C30" t="s">
        <v>864</v>
      </c>
      <c r="D30">
        <v>1252</v>
      </c>
      <c r="E30" t="s">
        <v>701</v>
      </c>
    </row>
    <row r="31" spans="1:5" x14ac:dyDescent="0.35">
      <c r="A31">
        <v>30</v>
      </c>
      <c r="B31" t="s">
        <v>894</v>
      </c>
      <c r="C31" t="s">
        <v>864</v>
      </c>
      <c r="D31">
        <v>751</v>
      </c>
      <c r="E31" t="s">
        <v>698</v>
      </c>
    </row>
    <row r="32" spans="1:5" x14ac:dyDescent="0.35">
      <c r="A32">
        <v>31</v>
      </c>
      <c r="B32" t="s">
        <v>895</v>
      </c>
      <c r="C32" t="s">
        <v>864</v>
      </c>
      <c r="D32">
        <v>1804</v>
      </c>
      <c r="E32" t="s">
        <v>699</v>
      </c>
    </row>
    <row r="33" spans="1:5" x14ac:dyDescent="0.35">
      <c r="A33">
        <v>32</v>
      </c>
      <c r="B33" t="s">
        <v>896</v>
      </c>
      <c r="C33" t="s">
        <v>860</v>
      </c>
      <c r="D33">
        <v>1792</v>
      </c>
      <c r="E33" t="s">
        <v>707</v>
      </c>
    </row>
    <row r="34" spans="1:5" x14ac:dyDescent="0.35">
      <c r="A34">
        <v>33</v>
      </c>
      <c r="B34" t="s">
        <v>897</v>
      </c>
      <c r="C34" t="s">
        <v>864</v>
      </c>
      <c r="D34">
        <v>314</v>
      </c>
      <c r="E34" t="s">
        <v>620</v>
      </c>
    </row>
    <row r="35" spans="1:5" x14ac:dyDescent="0.35">
      <c r="A35">
        <v>34</v>
      </c>
      <c r="B35" t="s">
        <v>898</v>
      </c>
      <c r="C35" t="s">
        <v>860</v>
      </c>
      <c r="D35">
        <v>1335</v>
      </c>
      <c r="E35" t="s">
        <v>794</v>
      </c>
    </row>
    <row r="36" spans="1:5" x14ac:dyDescent="0.35">
      <c r="A36">
        <v>35</v>
      </c>
      <c r="B36" t="s">
        <v>899</v>
      </c>
      <c r="C36" t="s">
        <v>864</v>
      </c>
      <c r="D36">
        <v>1865</v>
      </c>
      <c r="E36" t="s">
        <v>701</v>
      </c>
    </row>
    <row r="37" spans="1:5" x14ac:dyDescent="0.35">
      <c r="A37">
        <v>36</v>
      </c>
      <c r="B37" t="s">
        <v>900</v>
      </c>
      <c r="C37" t="s">
        <v>862</v>
      </c>
      <c r="D37">
        <v>203</v>
      </c>
      <c r="E37" t="s">
        <v>707</v>
      </c>
    </row>
    <row r="38" spans="1:5" x14ac:dyDescent="0.35">
      <c r="A38">
        <v>37</v>
      </c>
      <c r="B38" t="s">
        <v>901</v>
      </c>
      <c r="C38" t="s">
        <v>864</v>
      </c>
      <c r="D38">
        <v>1428</v>
      </c>
      <c r="E38" t="s">
        <v>829</v>
      </c>
    </row>
    <row r="39" spans="1:5" x14ac:dyDescent="0.35">
      <c r="A39">
        <v>38</v>
      </c>
      <c r="B39" t="s">
        <v>902</v>
      </c>
      <c r="C39" t="s">
        <v>869</v>
      </c>
      <c r="D39">
        <v>562</v>
      </c>
      <c r="E39" t="s">
        <v>707</v>
      </c>
    </row>
    <row r="40" spans="1:5" x14ac:dyDescent="0.35">
      <c r="A40">
        <v>39</v>
      </c>
      <c r="B40" t="s">
        <v>903</v>
      </c>
      <c r="C40" t="s">
        <v>875</v>
      </c>
      <c r="D40">
        <v>387</v>
      </c>
      <c r="E40" t="s">
        <v>699</v>
      </c>
    </row>
    <row r="41" spans="1:5" x14ac:dyDescent="0.35">
      <c r="A41">
        <v>40</v>
      </c>
      <c r="B41" t="s">
        <v>904</v>
      </c>
      <c r="C41" t="s">
        <v>866</v>
      </c>
      <c r="D41">
        <v>1923</v>
      </c>
      <c r="E41" t="s">
        <v>698</v>
      </c>
    </row>
    <row r="42" spans="1:5" x14ac:dyDescent="0.35">
      <c r="A42">
        <v>41</v>
      </c>
      <c r="B42" t="s">
        <v>905</v>
      </c>
      <c r="C42" t="s">
        <v>866</v>
      </c>
      <c r="D42">
        <v>1977</v>
      </c>
      <c r="E42" t="s">
        <v>829</v>
      </c>
    </row>
    <row r="43" spans="1:5" x14ac:dyDescent="0.35">
      <c r="A43">
        <v>42</v>
      </c>
      <c r="B43" t="s">
        <v>906</v>
      </c>
      <c r="C43" t="s">
        <v>866</v>
      </c>
      <c r="D43">
        <v>1744</v>
      </c>
      <c r="E43" t="s">
        <v>699</v>
      </c>
    </row>
    <row r="44" spans="1:5" x14ac:dyDescent="0.35">
      <c r="A44">
        <v>43</v>
      </c>
      <c r="B44" t="s">
        <v>907</v>
      </c>
      <c r="C44" t="s">
        <v>794</v>
      </c>
      <c r="D44">
        <v>750</v>
      </c>
      <c r="E44" t="s">
        <v>829</v>
      </c>
    </row>
    <row r="45" spans="1:5" x14ac:dyDescent="0.35">
      <c r="A45">
        <v>44</v>
      </c>
      <c r="B45" t="s">
        <v>908</v>
      </c>
      <c r="C45" t="s">
        <v>862</v>
      </c>
      <c r="D45">
        <v>794</v>
      </c>
      <c r="E45" t="s">
        <v>829</v>
      </c>
    </row>
    <row r="46" spans="1:5" x14ac:dyDescent="0.35">
      <c r="A46">
        <v>45</v>
      </c>
      <c r="B46" t="s">
        <v>909</v>
      </c>
      <c r="C46" t="s">
        <v>794</v>
      </c>
      <c r="D46">
        <v>722</v>
      </c>
      <c r="E46" t="s">
        <v>707</v>
      </c>
    </row>
    <row r="47" spans="1:5" x14ac:dyDescent="0.35">
      <c r="A47">
        <v>46</v>
      </c>
      <c r="B47" t="s">
        <v>910</v>
      </c>
      <c r="C47" t="s">
        <v>869</v>
      </c>
      <c r="D47">
        <v>758</v>
      </c>
      <c r="E47" t="s">
        <v>698</v>
      </c>
    </row>
    <row r="48" spans="1:5" x14ac:dyDescent="0.35">
      <c r="A48">
        <v>47</v>
      </c>
      <c r="B48" t="s">
        <v>911</v>
      </c>
      <c r="C48" t="s">
        <v>864</v>
      </c>
      <c r="D48">
        <v>1638</v>
      </c>
      <c r="E48" t="s">
        <v>701</v>
      </c>
    </row>
    <row r="49" spans="1:5" x14ac:dyDescent="0.35">
      <c r="A49">
        <v>48</v>
      </c>
      <c r="B49" t="s">
        <v>912</v>
      </c>
      <c r="C49" t="s">
        <v>864</v>
      </c>
      <c r="D49">
        <v>433</v>
      </c>
      <c r="E49" t="s">
        <v>829</v>
      </c>
    </row>
    <row r="50" spans="1:5" x14ac:dyDescent="0.35">
      <c r="A50">
        <v>49</v>
      </c>
      <c r="B50" t="s">
        <v>913</v>
      </c>
      <c r="C50" t="s">
        <v>864</v>
      </c>
      <c r="D50">
        <v>903</v>
      </c>
      <c r="E50" t="s">
        <v>620</v>
      </c>
    </row>
    <row r="51" spans="1:5" x14ac:dyDescent="0.35">
      <c r="A51">
        <v>50</v>
      </c>
      <c r="B51" t="s">
        <v>914</v>
      </c>
      <c r="C51" t="s">
        <v>862</v>
      </c>
      <c r="D51">
        <v>422</v>
      </c>
      <c r="E51" t="s">
        <v>701</v>
      </c>
    </row>
    <row r="52" spans="1:5" x14ac:dyDescent="0.35">
      <c r="A52">
        <v>51</v>
      </c>
      <c r="B52" t="s">
        <v>915</v>
      </c>
      <c r="C52" t="s">
        <v>860</v>
      </c>
      <c r="D52">
        <v>1084</v>
      </c>
      <c r="E52" t="s">
        <v>699</v>
      </c>
    </row>
    <row r="53" spans="1:5" x14ac:dyDescent="0.35">
      <c r="A53">
        <v>52</v>
      </c>
      <c r="B53" t="s">
        <v>916</v>
      </c>
      <c r="C53" t="s">
        <v>794</v>
      </c>
      <c r="D53">
        <v>236</v>
      </c>
      <c r="E53" t="s">
        <v>620</v>
      </c>
    </row>
    <row r="54" spans="1:5" x14ac:dyDescent="0.35">
      <c r="A54">
        <v>53</v>
      </c>
      <c r="B54" t="s">
        <v>917</v>
      </c>
      <c r="C54" t="s">
        <v>866</v>
      </c>
      <c r="D54">
        <v>1672</v>
      </c>
      <c r="E54" t="s">
        <v>794</v>
      </c>
    </row>
    <row r="55" spans="1:5" x14ac:dyDescent="0.35">
      <c r="A55">
        <v>54</v>
      </c>
      <c r="B55" t="s">
        <v>918</v>
      </c>
      <c r="C55" t="s">
        <v>869</v>
      </c>
      <c r="D55">
        <v>1236</v>
      </c>
      <c r="E55" t="s">
        <v>698</v>
      </c>
    </row>
    <row r="56" spans="1:5" x14ac:dyDescent="0.35">
      <c r="A56">
        <v>55</v>
      </c>
      <c r="B56" t="s">
        <v>919</v>
      </c>
      <c r="C56" t="s">
        <v>860</v>
      </c>
      <c r="D56">
        <v>1904</v>
      </c>
      <c r="E56" t="s">
        <v>794</v>
      </c>
    </row>
    <row r="57" spans="1:5" x14ac:dyDescent="0.35">
      <c r="A57">
        <v>56</v>
      </c>
      <c r="B57" t="s">
        <v>885</v>
      </c>
      <c r="C57" t="s">
        <v>794</v>
      </c>
      <c r="D57">
        <v>1272</v>
      </c>
      <c r="E57" t="s">
        <v>698</v>
      </c>
    </row>
    <row r="58" spans="1:5" x14ac:dyDescent="0.35">
      <c r="A58">
        <v>57</v>
      </c>
      <c r="B58" t="s">
        <v>920</v>
      </c>
      <c r="C58" t="s">
        <v>864</v>
      </c>
      <c r="D58">
        <v>1582</v>
      </c>
      <c r="E58" t="s">
        <v>707</v>
      </c>
    </row>
    <row r="59" spans="1:5" x14ac:dyDescent="0.35">
      <c r="A59">
        <v>58</v>
      </c>
      <c r="B59" t="s">
        <v>921</v>
      </c>
      <c r="C59" t="s">
        <v>869</v>
      </c>
      <c r="D59">
        <v>1492</v>
      </c>
      <c r="E59" t="s">
        <v>620</v>
      </c>
    </row>
    <row r="60" spans="1:5" x14ac:dyDescent="0.35">
      <c r="A60">
        <v>59</v>
      </c>
      <c r="B60" t="s">
        <v>922</v>
      </c>
      <c r="C60" t="s">
        <v>869</v>
      </c>
      <c r="D60">
        <v>811</v>
      </c>
      <c r="E60" t="s">
        <v>794</v>
      </c>
    </row>
    <row r="61" spans="1:5" x14ac:dyDescent="0.35">
      <c r="A61">
        <v>60</v>
      </c>
      <c r="B61" t="s">
        <v>923</v>
      </c>
      <c r="C61" t="s">
        <v>866</v>
      </c>
      <c r="D61">
        <v>827</v>
      </c>
      <c r="E61" t="s">
        <v>829</v>
      </c>
    </row>
    <row r="62" spans="1:5" x14ac:dyDescent="0.35">
      <c r="A62">
        <v>61</v>
      </c>
      <c r="B62" t="s">
        <v>924</v>
      </c>
      <c r="C62" t="s">
        <v>862</v>
      </c>
      <c r="D62">
        <v>810</v>
      </c>
      <c r="E62" t="s">
        <v>698</v>
      </c>
    </row>
    <row r="63" spans="1:5" x14ac:dyDescent="0.35">
      <c r="A63">
        <v>62</v>
      </c>
      <c r="B63" t="s">
        <v>925</v>
      </c>
      <c r="C63" t="s">
        <v>864</v>
      </c>
      <c r="D63">
        <v>1356</v>
      </c>
      <c r="E63" t="s">
        <v>701</v>
      </c>
    </row>
    <row r="64" spans="1:5" x14ac:dyDescent="0.35">
      <c r="A64">
        <v>63</v>
      </c>
      <c r="B64" t="s">
        <v>926</v>
      </c>
      <c r="C64" t="s">
        <v>866</v>
      </c>
      <c r="D64">
        <v>1348</v>
      </c>
      <c r="E64" t="s">
        <v>699</v>
      </c>
    </row>
    <row r="65" spans="1:5" x14ac:dyDescent="0.35">
      <c r="A65">
        <v>64</v>
      </c>
      <c r="B65" t="s">
        <v>927</v>
      </c>
      <c r="C65" t="s">
        <v>860</v>
      </c>
      <c r="D65">
        <v>1878</v>
      </c>
      <c r="E65" t="s">
        <v>794</v>
      </c>
    </row>
    <row r="66" spans="1:5" x14ac:dyDescent="0.35">
      <c r="A66">
        <v>65</v>
      </c>
      <c r="B66" t="s">
        <v>928</v>
      </c>
      <c r="C66" t="s">
        <v>794</v>
      </c>
      <c r="D66">
        <v>1895</v>
      </c>
      <c r="E66" t="s">
        <v>699</v>
      </c>
    </row>
    <row r="67" spans="1:5" x14ac:dyDescent="0.35">
      <c r="A67">
        <v>66</v>
      </c>
      <c r="B67" t="s">
        <v>929</v>
      </c>
      <c r="C67" t="s">
        <v>864</v>
      </c>
      <c r="D67">
        <v>610</v>
      </c>
      <c r="E67" t="s">
        <v>701</v>
      </c>
    </row>
    <row r="68" spans="1:5" x14ac:dyDescent="0.35">
      <c r="A68">
        <v>67</v>
      </c>
      <c r="B68" t="s">
        <v>930</v>
      </c>
      <c r="C68" t="s">
        <v>794</v>
      </c>
      <c r="D68">
        <v>1374</v>
      </c>
      <c r="E68" t="s">
        <v>698</v>
      </c>
    </row>
    <row r="69" spans="1:5" x14ac:dyDescent="0.35">
      <c r="A69">
        <v>68</v>
      </c>
      <c r="B69" t="s">
        <v>931</v>
      </c>
      <c r="C69" t="s">
        <v>860</v>
      </c>
      <c r="D69">
        <v>597</v>
      </c>
      <c r="E69" t="s">
        <v>620</v>
      </c>
    </row>
    <row r="70" spans="1:5" x14ac:dyDescent="0.35">
      <c r="A70">
        <v>69</v>
      </c>
      <c r="B70" t="s">
        <v>932</v>
      </c>
      <c r="C70" t="s">
        <v>869</v>
      </c>
      <c r="D70">
        <v>998</v>
      </c>
      <c r="E70" t="s">
        <v>701</v>
      </c>
    </row>
    <row r="71" spans="1:5" x14ac:dyDescent="0.35">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204F-D744-4B6E-BD55-D79D7F87E2EC}">
  <dimension ref="B2:N40"/>
  <sheetViews>
    <sheetView topLeftCell="A4" workbookViewId="0">
      <selection activeCell="E40" sqref="E40"/>
    </sheetView>
  </sheetViews>
  <sheetFormatPr defaultRowHeight="14.5" x14ac:dyDescent="0.35"/>
  <cols>
    <col min="2" max="2" width="13.453125" bestFit="1" customWidth="1"/>
    <col min="3" max="3" width="15.81640625" bestFit="1" customWidth="1"/>
    <col min="4" max="4" width="26.54296875" bestFit="1" customWidth="1"/>
    <col min="5" max="5" width="13.453125" bestFit="1" customWidth="1"/>
    <col min="6" max="6" width="17.54296875" bestFit="1" customWidth="1"/>
    <col min="7" max="7" width="19.1796875" bestFit="1" customWidth="1"/>
    <col min="8" max="8" width="16.1796875" bestFit="1" customWidth="1"/>
    <col min="9" max="9" width="15.81640625" bestFit="1" customWidth="1"/>
    <col min="10" max="10" width="12.1796875" bestFit="1" customWidth="1"/>
    <col min="11" max="11" width="6.54296875" bestFit="1" customWidth="1"/>
    <col min="12" max="12" width="6.26953125" bestFit="1" customWidth="1"/>
    <col min="13" max="13" width="5.81640625" bestFit="1" customWidth="1"/>
    <col min="14" max="14" width="17.54296875" bestFit="1" customWidth="1"/>
    <col min="15" max="15" width="15.81640625" bestFit="1" customWidth="1"/>
    <col min="16" max="16" width="9.7265625" bestFit="1" customWidth="1"/>
    <col min="17" max="17" width="5.81640625" bestFit="1" customWidth="1"/>
    <col min="18" max="18" width="9.81640625" bestFit="1" customWidth="1"/>
    <col min="19" max="19" width="7.54296875" bestFit="1" customWidth="1"/>
    <col min="20" max="20" width="10.7265625" bestFit="1" customWidth="1"/>
    <col min="21" max="21" width="9.26953125" bestFit="1" customWidth="1"/>
    <col min="22" max="22" width="8.81640625" bestFit="1" customWidth="1"/>
    <col min="23" max="23" width="8.54296875" bestFit="1" customWidth="1"/>
    <col min="24" max="24" width="7.81640625" bestFit="1" customWidth="1"/>
    <col min="25" max="25" width="6.54296875" bestFit="1" customWidth="1"/>
    <col min="26" max="26" width="10.1796875" bestFit="1" customWidth="1"/>
    <col min="27" max="27" width="12.81640625" bestFit="1" customWidth="1"/>
    <col min="28" max="28" width="5.7265625" bestFit="1" customWidth="1"/>
    <col min="29" max="29" width="8" bestFit="1" customWidth="1"/>
    <col min="30" max="30" width="11.453125" bestFit="1" customWidth="1"/>
    <col min="31" max="31" width="5.81640625" bestFit="1" customWidth="1"/>
    <col min="32" max="32" width="8.7265625" bestFit="1" customWidth="1"/>
    <col min="33" max="33" width="5.81640625" bestFit="1" customWidth="1"/>
    <col min="34" max="34" width="5.26953125" bestFit="1" customWidth="1"/>
    <col min="35" max="35" width="9.81640625" bestFit="1" customWidth="1"/>
    <col min="36" max="36" width="7.54296875" bestFit="1" customWidth="1"/>
    <col min="37" max="37" width="11" bestFit="1" customWidth="1"/>
    <col min="38" max="38" width="7.7265625" bestFit="1" customWidth="1"/>
    <col min="39" max="39" width="8.81640625" bestFit="1" customWidth="1"/>
    <col min="40" max="40" width="9.7265625" bestFit="1" customWidth="1"/>
    <col min="41" max="41" width="8.7265625" bestFit="1" customWidth="1"/>
    <col min="42" max="42" width="7.1796875" bestFit="1" customWidth="1"/>
    <col min="43" max="43" width="12" bestFit="1" customWidth="1"/>
    <col min="44" max="44" width="10.81640625" bestFit="1" customWidth="1"/>
    <col min="45" max="45" width="7.453125" bestFit="1" customWidth="1"/>
    <col min="46" max="46" width="9.81640625" bestFit="1" customWidth="1"/>
    <col min="47" max="47" width="19.7265625" bestFit="1" customWidth="1"/>
    <col min="48" max="48" width="9.7265625" bestFit="1" customWidth="1"/>
    <col min="49" max="49" width="8.81640625" bestFit="1" customWidth="1"/>
    <col min="50" max="50" width="10.1796875" bestFit="1" customWidth="1"/>
    <col min="51" max="51" width="6" bestFit="1" customWidth="1"/>
    <col min="52" max="52" width="8.54296875" bestFit="1" customWidth="1"/>
    <col min="53" max="53" width="12" bestFit="1" customWidth="1"/>
    <col min="54" max="54" width="6.1796875" bestFit="1" customWidth="1"/>
    <col min="56" max="56" width="8" bestFit="1" customWidth="1"/>
    <col min="57" max="57" width="7.1796875" bestFit="1" customWidth="1"/>
    <col min="58" max="58" width="13.1796875" bestFit="1" customWidth="1"/>
    <col min="59" max="59" width="9.453125" bestFit="1" customWidth="1"/>
    <col min="60" max="60" width="5.54296875" bestFit="1" customWidth="1"/>
    <col min="61" max="61" width="12" bestFit="1" customWidth="1"/>
    <col min="62" max="62" width="11.26953125" bestFit="1" customWidth="1"/>
    <col min="63" max="63" width="7.26953125" bestFit="1" customWidth="1"/>
    <col min="64" max="64" width="7.7265625" bestFit="1" customWidth="1"/>
    <col min="65" max="65" width="8.26953125" bestFit="1" customWidth="1"/>
    <col min="66" max="66" width="7.1796875" bestFit="1" customWidth="1"/>
    <col min="67" max="67" width="11.26953125" bestFit="1" customWidth="1"/>
    <col min="68" max="68" width="12.1796875" bestFit="1" customWidth="1"/>
    <col min="69" max="69" width="10.26953125" bestFit="1" customWidth="1"/>
    <col min="70" max="70" width="6" bestFit="1" customWidth="1"/>
    <col min="71" max="71" width="11.26953125" bestFit="1" customWidth="1"/>
    <col min="72" max="72" width="11.54296875" bestFit="1" customWidth="1"/>
    <col min="73" max="73" width="7.453125" bestFit="1" customWidth="1"/>
    <col min="74" max="74" width="8.54296875" bestFit="1" customWidth="1"/>
    <col min="75" max="75" width="10.26953125" bestFit="1" customWidth="1"/>
    <col min="76" max="76" width="8.54296875" bestFit="1" customWidth="1"/>
    <col min="77" max="77" width="8" bestFit="1" customWidth="1"/>
    <col min="78" max="78" width="8.54296875" bestFit="1" customWidth="1"/>
    <col min="79" max="79" width="10.54296875" bestFit="1" customWidth="1"/>
    <col min="80" max="80" width="11.54296875" bestFit="1" customWidth="1"/>
    <col min="81" max="81" width="9.81640625" bestFit="1" customWidth="1"/>
    <col min="82" max="82" width="6" bestFit="1" customWidth="1"/>
    <col min="83" max="83" width="5.81640625" bestFit="1" customWidth="1"/>
    <col min="84" max="84" width="8.54296875" bestFit="1" customWidth="1"/>
    <col min="85" max="85" width="7" bestFit="1" customWidth="1"/>
    <col min="86" max="86" width="9" bestFit="1" customWidth="1"/>
    <col min="87" max="87" width="13.54296875" bestFit="1" customWidth="1"/>
    <col min="88" max="88" width="6.453125" bestFit="1" customWidth="1"/>
    <col min="89" max="89" width="9.81640625" bestFit="1" customWidth="1"/>
    <col min="90" max="90" width="8.54296875" bestFit="1" customWidth="1"/>
    <col min="91" max="91" width="5.26953125" bestFit="1" customWidth="1"/>
    <col min="92" max="92" width="9.26953125" bestFit="1" customWidth="1"/>
    <col min="93" max="93" width="5.7265625" bestFit="1" customWidth="1"/>
    <col min="94" max="94" width="6.26953125" bestFit="1" customWidth="1"/>
    <col min="95" max="95" width="7.453125" bestFit="1" customWidth="1"/>
    <col min="96" max="96" width="9.7265625" bestFit="1" customWidth="1"/>
    <col min="97" max="97" width="12" bestFit="1" customWidth="1"/>
    <col min="98" max="98" width="9" bestFit="1" customWidth="1"/>
    <col min="99" max="99" width="12.453125" bestFit="1" customWidth="1"/>
    <col min="100" max="100" width="12.26953125" bestFit="1" customWidth="1"/>
    <col min="101" max="101" width="8.453125" bestFit="1" customWidth="1"/>
    <col min="102" max="102" width="5.453125" bestFit="1" customWidth="1"/>
    <col min="103" max="103" width="10.26953125" bestFit="1" customWidth="1"/>
    <col min="104" max="104" width="7.1796875" bestFit="1" customWidth="1"/>
    <col min="105" max="105" width="9.26953125" bestFit="1" customWidth="1"/>
    <col min="106" max="106" width="10.453125" bestFit="1" customWidth="1"/>
    <col min="107" max="107" width="9.453125" bestFit="1" customWidth="1"/>
    <col min="108" max="108" width="9" bestFit="1" customWidth="1"/>
    <col min="109" max="109" width="5.7265625" bestFit="1" customWidth="1"/>
    <col min="110" max="110" width="9" bestFit="1" customWidth="1"/>
    <col min="111" max="111" width="7.26953125" bestFit="1" customWidth="1"/>
    <col min="112" max="112" width="8.54296875" bestFit="1" customWidth="1"/>
    <col min="113" max="113" width="9.453125" bestFit="1" customWidth="1"/>
    <col min="114" max="114" width="7.81640625" bestFit="1" customWidth="1"/>
    <col min="115" max="115" width="7.54296875" bestFit="1" customWidth="1"/>
    <col min="116" max="116" width="6.7265625" bestFit="1" customWidth="1"/>
    <col min="117" max="117" width="6.453125" bestFit="1" customWidth="1"/>
    <col min="118" max="118" width="10.81640625" bestFit="1" customWidth="1"/>
    <col min="119" max="119" width="9.453125" bestFit="1" customWidth="1"/>
    <col min="120" max="120" width="7.54296875" bestFit="1" customWidth="1"/>
    <col min="121" max="121" width="6.453125" bestFit="1" customWidth="1"/>
    <col min="122" max="122" width="7.81640625" bestFit="1" customWidth="1"/>
    <col min="123" max="123" width="10.7265625" bestFit="1" customWidth="1"/>
    <col min="124" max="124" width="11.26953125" bestFit="1" customWidth="1"/>
    <col min="125" max="125" width="7.1796875" bestFit="1" customWidth="1"/>
    <col min="126" max="126" width="6.81640625" bestFit="1" customWidth="1"/>
    <col min="127" max="127" width="8.453125" bestFit="1" customWidth="1"/>
    <col min="128" max="128" width="6.26953125" bestFit="1" customWidth="1"/>
    <col min="129" max="129" width="9.453125" bestFit="1" customWidth="1"/>
    <col min="130" max="130" width="7.54296875" bestFit="1" customWidth="1"/>
    <col min="131" max="131" width="5.453125" bestFit="1" customWidth="1"/>
    <col min="132" max="132" width="9" bestFit="1" customWidth="1"/>
    <col min="133" max="133" width="7.26953125" bestFit="1" customWidth="1"/>
    <col min="134" max="134" width="8" bestFit="1" customWidth="1"/>
    <col min="135" max="135" width="10.453125" bestFit="1" customWidth="1"/>
    <col min="136" max="136" width="6.54296875" bestFit="1" customWidth="1"/>
    <col min="137" max="137" width="8.1796875" bestFit="1" customWidth="1"/>
    <col min="138" max="138" width="6.453125" bestFit="1" customWidth="1"/>
    <col min="139" max="139" width="9.26953125" bestFit="1" customWidth="1"/>
    <col min="140" max="140" width="7.453125" bestFit="1" customWidth="1"/>
    <col min="141" max="141" width="9" bestFit="1" customWidth="1"/>
    <col min="142" max="142" width="15.81640625" bestFit="1" customWidth="1"/>
    <col min="143" max="143" width="10" bestFit="1" customWidth="1"/>
    <col min="144" max="144" width="7.26953125" bestFit="1" customWidth="1"/>
    <col min="145" max="145" width="9.26953125" bestFit="1" customWidth="1"/>
    <col min="146" max="146" width="11" bestFit="1" customWidth="1"/>
    <col min="147" max="147" width="6.54296875" bestFit="1" customWidth="1"/>
    <col min="148" max="148" width="5.54296875" bestFit="1" customWidth="1"/>
    <col min="149" max="149" width="6.26953125" bestFit="1" customWidth="1"/>
    <col min="150" max="150" width="10.453125" bestFit="1" customWidth="1"/>
    <col min="151" max="151" width="9" bestFit="1" customWidth="1"/>
    <col min="152" max="152" width="10" bestFit="1" customWidth="1"/>
    <col min="153" max="153" width="6.1796875" bestFit="1" customWidth="1"/>
    <col min="154" max="154" width="19.81640625" bestFit="1" customWidth="1"/>
    <col min="155" max="155" width="10.7265625" bestFit="1" customWidth="1"/>
    <col min="156" max="156" width="6" bestFit="1" customWidth="1"/>
    <col min="157" max="157" width="9" bestFit="1" customWidth="1"/>
    <col min="158" max="158" width="7.54296875" bestFit="1" customWidth="1"/>
    <col min="159" max="159" width="7.1796875" bestFit="1" customWidth="1"/>
    <col min="160" max="160" width="6.1796875" bestFit="1" customWidth="1"/>
    <col min="161" max="161" width="5" bestFit="1" customWidth="1"/>
    <col min="162" max="162" width="9.453125" bestFit="1" customWidth="1"/>
    <col min="163" max="163" width="10.26953125" bestFit="1" customWidth="1"/>
    <col min="164" max="164" width="5.1796875" bestFit="1" customWidth="1"/>
    <col min="165" max="165" width="13.26953125" bestFit="1" customWidth="1"/>
    <col min="166" max="166" width="8" bestFit="1" customWidth="1"/>
    <col min="167" max="167" width="5.54296875" bestFit="1" customWidth="1"/>
    <col min="168" max="168" width="4.81640625" bestFit="1" customWidth="1"/>
    <col min="169" max="169" width="8.81640625" bestFit="1" customWidth="1"/>
    <col min="171" max="171" width="14.26953125" bestFit="1" customWidth="1"/>
    <col min="172" max="172" width="12.26953125" bestFit="1" customWidth="1"/>
    <col min="173" max="173" width="8.1796875" bestFit="1" customWidth="1"/>
    <col min="174" max="174" width="13.1796875" bestFit="1" customWidth="1"/>
    <col min="175" max="175" width="11.26953125" bestFit="1" customWidth="1"/>
    <col min="176" max="176" width="6.26953125" bestFit="1" customWidth="1"/>
    <col min="177" max="177" width="9.54296875" bestFit="1" customWidth="1"/>
    <col min="178" max="178" width="10.26953125" bestFit="1" customWidth="1"/>
    <col min="179" max="179" width="6.81640625" bestFit="1" customWidth="1"/>
    <col min="180" max="180" width="8.26953125" bestFit="1" customWidth="1"/>
    <col min="181" max="181" width="4.7265625" bestFit="1" customWidth="1"/>
    <col min="182" max="182" width="12" bestFit="1" customWidth="1"/>
    <col min="183" max="183" width="7.453125" bestFit="1" customWidth="1"/>
    <col min="184" max="184" width="9" bestFit="1" customWidth="1"/>
    <col min="185" max="185" width="15" bestFit="1" customWidth="1"/>
    <col min="186" max="186" width="11.7265625" bestFit="1" customWidth="1"/>
    <col min="187" max="187" width="8.7265625" bestFit="1" customWidth="1"/>
    <col min="188" max="188" width="10.81640625" bestFit="1" customWidth="1"/>
    <col min="189" max="189" width="6.1796875" bestFit="1" customWidth="1"/>
    <col min="190" max="190" width="7.7265625" bestFit="1" customWidth="1"/>
    <col min="191" max="191" width="8.453125" bestFit="1" customWidth="1"/>
    <col min="192" max="192" width="7.7265625" bestFit="1" customWidth="1"/>
    <col min="193" max="193" width="13.7265625" bestFit="1" customWidth="1"/>
    <col min="194" max="194" width="11.7265625" bestFit="1" customWidth="1"/>
    <col min="195" max="195" width="7.54296875" bestFit="1" customWidth="1"/>
    <col min="196" max="196" width="7.26953125" bestFit="1" customWidth="1"/>
    <col min="197" max="198" width="7.453125" bestFit="1" customWidth="1"/>
    <col min="199" max="199" width="8" bestFit="1" customWidth="1"/>
    <col min="200" max="200" width="8.26953125" bestFit="1" customWidth="1"/>
    <col min="201" max="201" width="10.7265625" bestFit="1" customWidth="1"/>
    <col min="202" max="202" width="13.1796875" bestFit="1" customWidth="1"/>
    <col min="203" max="203" width="7.1796875" bestFit="1" customWidth="1"/>
    <col min="204" max="204" width="12.54296875" bestFit="1" customWidth="1"/>
    <col min="205" max="205" width="7.7265625" bestFit="1" customWidth="1"/>
    <col min="206" max="206" width="10.26953125" bestFit="1" customWidth="1"/>
    <col min="207" max="207" width="10.81640625" bestFit="1" customWidth="1"/>
    <col min="208" max="208" width="6.26953125" bestFit="1" customWidth="1"/>
    <col min="209" max="209" width="15" bestFit="1" customWidth="1"/>
    <col min="210" max="210" width="7.453125" bestFit="1" customWidth="1"/>
    <col min="211" max="211" width="4.7265625" bestFit="1" customWidth="1"/>
    <col min="212" max="212" width="9.81640625" bestFit="1" customWidth="1"/>
    <col min="213" max="213" width="4.26953125" bestFit="1" customWidth="1"/>
    <col min="214" max="214" width="10.7265625" bestFit="1" customWidth="1"/>
    <col min="215" max="215" width="10.1796875" bestFit="1" customWidth="1"/>
    <col min="216" max="216" width="8.26953125" bestFit="1" customWidth="1"/>
    <col min="217" max="217" width="7.7265625" bestFit="1" customWidth="1"/>
    <col min="218" max="218" width="7" bestFit="1" customWidth="1"/>
    <col min="219" max="219" width="8.81640625" bestFit="1" customWidth="1"/>
    <col min="220" max="220" width="7" bestFit="1" customWidth="1"/>
    <col min="221" max="221" width="6" bestFit="1" customWidth="1"/>
    <col min="222" max="222" width="9.453125" bestFit="1" customWidth="1"/>
    <col min="223" max="223" width="7.26953125" bestFit="1" customWidth="1"/>
    <col min="224" max="224" width="17.81640625" bestFit="1" customWidth="1"/>
    <col min="225" max="225" width="11.81640625" bestFit="1" customWidth="1"/>
    <col min="226" max="226" width="9.81640625" bestFit="1" customWidth="1"/>
    <col min="227" max="227" width="11.7265625" bestFit="1" customWidth="1"/>
    <col min="228" max="228" width="5.54296875" bestFit="1" customWidth="1"/>
    <col min="229" max="229" width="6.7265625" bestFit="1" customWidth="1"/>
    <col min="230" max="230" width="9.54296875" bestFit="1" customWidth="1"/>
    <col min="231" max="231" width="7.81640625" bestFit="1" customWidth="1"/>
    <col min="232" max="232" width="7.54296875" bestFit="1" customWidth="1"/>
    <col min="233" max="233" width="6.81640625" bestFit="1" customWidth="1"/>
    <col min="234" max="234" width="12.81640625" bestFit="1" customWidth="1"/>
    <col min="235" max="235" width="6.7265625" bestFit="1" customWidth="1"/>
    <col min="236" max="236" width="15.54296875" bestFit="1" customWidth="1"/>
    <col min="237" max="237" width="13.26953125" bestFit="1" customWidth="1"/>
    <col min="238" max="238" width="8.81640625" bestFit="1" customWidth="1"/>
    <col min="239" max="239" width="8" bestFit="1" customWidth="1"/>
    <col min="240" max="240" width="7.1796875" bestFit="1" customWidth="1"/>
    <col min="241" max="241" width="7.26953125" bestFit="1" customWidth="1"/>
    <col min="242" max="242" width="27.453125" bestFit="1" customWidth="1"/>
    <col min="243" max="243" width="5.81640625" bestFit="1" customWidth="1"/>
    <col min="244" max="244" width="7.26953125" bestFit="1" customWidth="1"/>
    <col min="245" max="245" width="9" bestFit="1" customWidth="1"/>
    <col min="246" max="246" width="5.81640625" bestFit="1" customWidth="1"/>
    <col min="247" max="247" width="11.1796875" bestFit="1" customWidth="1"/>
    <col min="248" max="248" width="8" bestFit="1" customWidth="1"/>
    <col min="249" max="249" width="6.54296875" bestFit="1" customWidth="1"/>
    <col min="250" max="250" width="10.54296875" bestFit="1" customWidth="1"/>
    <col min="251" max="251" width="8.7265625" bestFit="1" customWidth="1"/>
    <col min="252" max="252" width="21" bestFit="1" customWidth="1"/>
    <col min="253" max="253" width="8.54296875" bestFit="1" customWidth="1"/>
    <col min="254" max="254" width="6.54296875" bestFit="1" customWidth="1"/>
    <col min="255" max="255" width="6" bestFit="1" customWidth="1"/>
    <col min="256" max="256" width="14" bestFit="1" customWidth="1"/>
    <col min="257" max="257" width="10.81640625" bestFit="1" customWidth="1"/>
    <col min="258" max="258" width="13.453125" bestFit="1" customWidth="1"/>
    <col min="259" max="259" width="7.1796875" bestFit="1" customWidth="1"/>
    <col min="260" max="260" width="8.7265625" bestFit="1" customWidth="1"/>
    <col min="261" max="261" width="8.453125" bestFit="1" customWidth="1"/>
    <col min="262" max="262" width="5.453125" bestFit="1" customWidth="1"/>
    <col min="263" max="263" width="7.1796875" bestFit="1" customWidth="1"/>
    <col min="264" max="264" width="7.26953125" bestFit="1" customWidth="1"/>
    <col min="265" max="265" width="8.81640625" bestFit="1" customWidth="1"/>
    <col min="266" max="266" width="5.453125" bestFit="1" customWidth="1"/>
    <col min="267" max="267" width="6.26953125" bestFit="1" customWidth="1"/>
    <col min="268" max="269" width="7.81640625" bestFit="1" customWidth="1"/>
    <col min="270" max="270" width="15.1796875" bestFit="1" customWidth="1"/>
    <col min="271" max="271" width="14.453125" bestFit="1" customWidth="1"/>
    <col min="272" max="272" width="10.81640625" bestFit="1" customWidth="1"/>
    <col min="273" max="273" width="8.26953125" bestFit="1" customWidth="1"/>
    <col min="274" max="274" width="15.54296875" bestFit="1" customWidth="1"/>
    <col min="275" max="275" width="5.7265625" bestFit="1" customWidth="1"/>
    <col min="276" max="276" width="22.1796875" bestFit="1" customWidth="1"/>
    <col min="277" max="277" width="9" bestFit="1" customWidth="1"/>
    <col min="278" max="278" width="15.453125" bestFit="1" customWidth="1"/>
    <col min="279" max="279" width="8.81640625" bestFit="1" customWidth="1"/>
    <col min="280" max="280" width="6.453125" bestFit="1" customWidth="1"/>
    <col min="281" max="281" width="7" bestFit="1" customWidth="1"/>
    <col min="282" max="282" width="6.453125" bestFit="1" customWidth="1"/>
    <col min="283" max="283" width="19.7265625" bestFit="1" customWidth="1"/>
    <col min="284" max="284" width="12.26953125" bestFit="1" customWidth="1"/>
    <col min="285" max="285" width="8.26953125" bestFit="1" customWidth="1"/>
    <col min="286" max="286" width="8.453125" bestFit="1" customWidth="1"/>
    <col min="287" max="287" width="14" bestFit="1" customWidth="1"/>
    <col min="288" max="288" width="10.54296875" bestFit="1" customWidth="1"/>
    <col min="289" max="289" width="7.81640625" bestFit="1" customWidth="1"/>
    <col min="290" max="290" width="8.54296875" bestFit="1" customWidth="1"/>
    <col min="291" max="291" width="11.453125" bestFit="1" customWidth="1"/>
    <col min="292" max="292" width="7.7265625" bestFit="1" customWidth="1"/>
    <col min="293" max="293" width="8" bestFit="1" customWidth="1"/>
    <col min="294" max="294" width="6.26953125" bestFit="1" customWidth="1"/>
    <col min="295" max="295" width="6.1796875" bestFit="1" customWidth="1"/>
    <col min="296" max="296" width="10.81640625" bestFit="1" customWidth="1"/>
    <col min="297" max="297" width="8.54296875" bestFit="1" customWidth="1"/>
    <col min="298" max="298" width="6.7265625" bestFit="1" customWidth="1"/>
    <col min="299" max="299" width="8.54296875" bestFit="1" customWidth="1"/>
    <col min="300" max="300" width="10.54296875" bestFit="1" customWidth="1"/>
    <col min="301" max="301" width="7.453125" bestFit="1" customWidth="1"/>
    <col min="302" max="302" width="14" bestFit="1" customWidth="1"/>
    <col min="303" max="303" width="10.81640625" bestFit="1" customWidth="1"/>
    <col min="304" max="304" width="14.7265625" bestFit="1" customWidth="1"/>
    <col min="305" max="305" width="9.26953125" bestFit="1" customWidth="1"/>
    <col min="306" max="306" width="13.1796875" bestFit="1" customWidth="1"/>
    <col min="307" max="307" width="11.26953125" bestFit="1" customWidth="1"/>
  </cols>
  <sheetData>
    <row r="2" spans="2:14" x14ac:dyDescent="0.35">
      <c r="B2" t="s">
        <v>944</v>
      </c>
      <c r="C2" t="s">
        <v>945</v>
      </c>
      <c r="E2">
        <f>CORREL(Orders!D:D,Orders!M:M)</f>
        <v>3.4781737193018245E-3</v>
      </c>
      <c r="G2" t="s">
        <v>946</v>
      </c>
    </row>
    <row r="3" spans="2:14" x14ac:dyDescent="0.35">
      <c r="B3" s="4">
        <v>2946302</v>
      </c>
      <c r="C3">
        <v>5.475609756097561</v>
      </c>
      <c r="G3" s="4">
        <v>3593.0511999999999</v>
      </c>
    </row>
    <row r="5" spans="2:14" x14ac:dyDescent="0.35">
      <c r="B5" s="5" t="s">
        <v>933</v>
      </c>
      <c r="C5" t="s">
        <v>944</v>
      </c>
      <c r="E5" s="5" t="s">
        <v>933</v>
      </c>
      <c r="F5" t="s">
        <v>944</v>
      </c>
      <c r="H5" s="5" t="s">
        <v>933</v>
      </c>
      <c r="I5" t="s">
        <v>944</v>
      </c>
    </row>
    <row r="6" spans="2:14" x14ac:dyDescent="0.35">
      <c r="B6" s="6" t="s">
        <v>842</v>
      </c>
      <c r="C6" s="4">
        <v>95468</v>
      </c>
      <c r="E6" s="6" t="s">
        <v>878</v>
      </c>
      <c r="F6" s="4">
        <v>97665</v>
      </c>
      <c r="H6" s="6" t="s">
        <v>869</v>
      </c>
      <c r="I6" s="4">
        <v>238220</v>
      </c>
    </row>
    <row r="7" spans="2:14" x14ac:dyDescent="0.35">
      <c r="B7" s="6" t="s">
        <v>621</v>
      </c>
      <c r="C7" s="4">
        <v>504129</v>
      </c>
      <c r="E7" s="6" t="s">
        <v>919</v>
      </c>
      <c r="F7" s="4">
        <v>106624</v>
      </c>
      <c r="H7" s="6" t="s">
        <v>864</v>
      </c>
      <c r="I7" s="4">
        <v>684847</v>
      </c>
    </row>
    <row r="8" spans="2:14" x14ac:dyDescent="0.35">
      <c r="B8" s="6" t="s">
        <v>747</v>
      </c>
      <c r="C8" s="4">
        <v>137521</v>
      </c>
      <c r="E8" s="6" t="s">
        <v>859</v>
      </c>
      <c r="F8" s="4">
        <v>121905</v>
      </c>
      <c r="H8" s="6" t="s">
        <v>875</v>
      </c>
      <c r="I8" s="4">
        <v>131550</v>
      </c>
    </row>
    <row r="9" spans="2:14" x14ac:dyDescent="0.35">
      <c r="B9" s="6" t="s">
        <v>837</v>
      </c>
      <c r="C9" s="4">
        <v>140393</v>
      </c>
      <c r="E9" s="6" t="s">
        <v>927</v>
      </c>
      <c r="F9" s="4">
        <v>97656</v>
      </c>
      <c r="H9" s="6" t="s">
        <v>862</v>
      </c>
      <c r="I9" s="4">
        <v>195401</v>
      </c>
    </row>
    <row r="10" spans="2:14" x14ac:dyDescent="0.35">
      <c r="B10" s="6" t="s">
        <v>840</v>
      </c>
      <c r="C10" s="4">
        <v>150346</v>
      </c>
      <c r="E10" s="6" t="s">
        <v>885</v>
      </c>
      <c r="F10" s="4">
        <v>114476</v>
      </c>
      <c r="H10" s="6" t="s">
        <v>794</v>
      </c>
      <c r="I10" s="4">
        <v>297372</v>
      </c>
    </row>
    <row r="11" spans="2:14" x14ac:dyDescent="0.35">
      <c r="B11" s="6" t="s">
        <v>841</v>
      </c>
      <c r="C11" s="4">
        <v>157913</v>
      </c>
      <c r="E11" s="6" t="s">
        <v>934</v>
      </c>
      <c r="F11" s="4">
        <v>538326</v>
      </c>
      <c r="H11" s="6" t="s">
        <v>860</v>
      </c>
      <c r="I11" s="4">
        <v>716700</v>
      </c>
      <c r="N11" t="s">
        <v>947</v>
      </c>
    </row>
    <row r="12" spans="2:14" x14ac:dyDescent="0.35">
      <c r="B12" s="6" t="s">
        <v>839</v>
      </c>
      <c r="C12" s="4">
        <v>135826</v>
      </c>
      <c r="H12" s="6" t="s">
        <v>866</v>
      </c>
      <c r="I12" s="4">
        <v>682212</v>
      </c>
      <c r="N12">
        <v>820</v>
      </c>
    </row>
    <row r="13" spans="2:14" x14ac:dyDescent="0.35">
      <c r="B13" s="6" t="s">
        <v>795</v>
      </c>
      <c r="C13" s="4">
        <v>737389</v>
      </c>
      <c r="H13" s="6" t="s">
        <v>934</v>
      </c>
      <c r="I13" s="4">
        <v>2946302</v>
      </c>
    </row>
    <row r="14" spans="2:14" x14ac:dyDescent="0.35">
      <c r="B14" s="6" t="s">
        <v>843</v>
      </c>
      <c r="C14" s="4">
        <v>136938</v>
      </c>
      <c r="E14" s="5" t="s">
        <v>933</v>
      </c>
      <c r="F14" t="s">
        <v>947</v>
      </c>
    </row>
    <row r="15" spans="2:14" x14ac:dyDescent="0.35">
      <c r="B15" s="6" t="s">
        <v>845</v>
      </c>
      <c r="C15" s="4">
        <v>151619</v>
      </c>
      <c r="E15" s="6" t="s">
        <v>803</v>
      </c>
      <c r="F15">
        <v>6</v>
      </c>
      <c r="H15" s="5" t="s">
        <v>933</v>
      </c>
      <c r="I15" t="s">
        <v>944</v>
      </c>
    </row>
    <row r="16" spans="2:14" x14ac:dyDescent="0.35">
      <c r="B16" s="6" t="s">
        <v>822</v>
      </c>
      <c r="C16" s="4">
        <v>449169</v>
      </c>
      <c r="E16" s="6" t="s">
        <v>649</v>
      </c>
      <c r="F16">
        <v>9</v>
      </c>
      <c r="H16" s="6" t="s">
        <v>699</v>
      </c>
      <c r="I16" s="4">
        <v>586176</v>
      </c>
    </row>
    <row r="17" spans="2:9" x14ac:dyDescent="0.35">
      <c r="B17" s="6" t="s">
        <v>836</v>
      </c>
      <c r="C17" s="4">
        <v>149591</v>
      </c>
      <c r="E17" s="6" t="s">
        <v>478</v>
      </c>
      <c r="F17">
        <v>8</v>
      </c>
      <c r="H17" s="6" t="s">
        <v>698</v>
      </c>
      <c r="I17" s="4">
        <v>674634</v>
      </c>
    </row>
    <row r="18" spans="2:9" x14ac:dyDescent="0.35">
      <c r="B18" s="6" t="s">
        <v>934</v>
      </c>
      <c r="C18" s="4">
        <v>2946302</v>
      </c>
      <c r="E18" s="6" t="s">
        <v>26</v>
      </c>
      <c r="F18">
        <v>6</v>
      </c>
      <c r="H18" s="6" t="s">
        <v>707</v>
      </c>
      <c r="I18" s="4">
        <v>408194</v>
      </c>
    </row>
    <row r="19" spans="2:9" x14ac:dyDescent="0.35">
      <c r="E19" s="6" t="s">
        <v>693</v>
      </c>
      <c r="F19">
        <v>7</v>
      </c>
      <c r="H19" s="6" t="s">
        <v>829</v>
      </c>
      <c r="I19" s="4">
        <v>313783</v>
      </c>
    </row>
    <row r="20" spans="2:9" x14ac:dyDescent="0.35">
      <c r="E20" s="6" t="s">
        <v>661</v>
      </c>
      <c r="F20">
        <v>9</v>
      </c>
      <c r="H20" s="6" t="s">
        <v>794</v>
      </c>
      <c r="I20" s="4">
        <v>631585</v>
      </c>
    </row>
    <row r="21" spans="2:9" x14ac:dyDescent="0.35">
      <c r="E21" s="6" t="s">
        <v>687</v>
      </c>
      <c r="F21">
        <v>7</v>
      </c>
      <c r="H21" s="6" t="s">
        <v>620</v>
      </c>
      <c r="I21" s="4">
        <v>331930</v>
      </c>
    </row>
    <row r="22" spans="2:9" x14ac:dyDescent="0.35">
      <c r="E22" s="6" t="s">
        <v>824</v>
      </c>
      <c r="F22">
        <v>6</v>
      </c>
      <c r="H22" s="6" t="s">
        <v>934</v>
      </c>
      <c r="I22" s="4">
        <v>2946302</v>
      </c>
    </row>
    <row r="23" spans="2:9" x14ac:dyDescent="0.35">
      <c r="E23" s="6" t="s">
        <v>248</v>
      </c>
      <c r="F23">
        <v>6</v>
      </c>
    </row>
    <row r="24" spans="2:9" x14ac:dyDescent="0.35">
      <c r="E24" s="6" t="s">
        <v>254</v>
      </c>
      <c r="F24">
        <v>7</v>
      </c>
    </row>
    <row r="25" spans="2:9" x14ac:dyDescent="0.35">
      <c r="E25" s="6" t="s">
        <v>934</v>
      </c>
      <c r="F25">
        <v>71</v>
      </c>
    </row>
    <row r="29" spans="2:9" x14ac:dyDescent="0.35">
      <c r="B29" s="5" t="s">
        <v>933</v>
      </c>
      <c r="C29" t="s">
        <v>944</v>
      </c>
    </row>
    <row r="30" spans="2:9" x14ac:dyDescent="0.35">
      <c r="B30" s="6">
        <v>2</v>
      </c>
      <c r="C30" s="4">
        <v>130108</v>
      </c>
    </row>
    <row r="31" spans="2:9" x14ac:dyDescent="0.35">
      <c r="B31" s="6">
        <v>6</v>
      </c>
      <c r="C31" s="4">
        <v>156081</v>
      </c>
    </row>
    <row r="32" spans="2:9" x14ac:dyDescent="0.35">
      <c r="B32" s="6">
        <v>9</v>
      </c>
      <c r="C32" s="4">
        <v>141978</v>
      </c>
    </row>
    <row r="33" spans="2:3" x14ac:dyDescent="0.35">
      <c r="B33" s="6">
        <v>12</v>
      </c>
      <c r="C33" s="4">
        <v>131492</v>
      </c>
    </row>
    <row r="34" spans="2:3" x14ac:dyDescent="0.35">
      <c r="B34" s="6">
        <v>13</v>
      </c>
      <c r="C34" s="4">
        <v>129207</v>
      </c>
    </row>
    <row r="35" spans="2:3" x14ac:dyDescent="0.35">
      <c r="B35" s="6">
        <v>15</v>
      </c>
      <c r="C35" s="4">
        <v>133933</v>
      </c>
    </row>
    <row r="36" spans="2:3" x14ac:dyDescent="0.35">
      <c r="B36" s="6">
        <v>18</v>
      </c>
      <c r="C36" s="4">
        <v>160422</v>
      </c>
    </row>
    <row r="37" spans="2:3" x14ac:dyDescent="0.35">
      <c r="B37" s="6">
        <v>19</v>
      </c>
      <c r="C37" s="4">
        <v>165196</v>
      </c>
    </row>
    <row r="38" spans="2:3" x14ac:dyDescent="0.35">
      <c r="B38" s="6">
        <v>20</v>
      </c>
      <c r="C38" s="4">
        <v>143362</v>
      </c>
    </row>
    <row r="39" spans="2:3" x14ac:dyDescent="0.35">
      <c r="B39" s="6">
        <v>23</v>
      </c>
      <c r="C39" s="4">
        <v>147179</v>
      </c>
    </row>
    <row r="40" spans="2:3" x14ac:dyDescent="0.35">
      <c r="B40" s="6" t="s">
        <v>934</v>
      </c>
      <c r="C40" s="4">
        <v>1438958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A1677-3AB8-473D-95AE-A0590D7F23E2}">
  <dimension ref="B3"/>
  <sheetViews>
    <sheetView tabSelected="1" zoomScale="55" zoomScaleNormal="55" workbookViewId="0">
      <selection activeCell="AE12" sqref="AE12"/>
    </sheetView>
  </sheetViews>
  <sheetFormatPr defaultRowHeight="14.5" x14ac:dyDescent="0.35"/>
  <sheetData>
    <row r="3" spans="2:2" x14ac:dyDescent="0.35">
      <c r="B3">
        <f>'Poivt Tables'!C3</f>
        <v>5.475609756097561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5411AF2-553E-42B0-A6DF-D6C1EF70C06C}">
  <ds:schemaRefs/>
</ds:datastoreItem>
</file>

<file path=customXml/itemProps2.xml><?xml version="1.0" encoding="utf-8"?>
<ds:datastoreItem xmlns:ds="http://schemas.openxmlformats.org/officeDocument/2006/customXml" ds:itemID="{B36C8BC1-EB73-4A03-A962-122CDA745660}">
  <ds:schemaRefs/>
</ds:datastoreItem>
</file>

<file path=customXml/itemProps3.xml><?xml version="1.0" encoding="utf-8"?>
<ds:datastoreItem xmlns:ds="http://schemas.openxmlformats.org/officeDocument/2006/customXml" ds:itemID="{A2DB5DFF-A80C-4D7A-AE4F-A9177685E05A}">
  <ds:schemaRefs/>
</ds:datastoreItem>
</file>

<file path=customXml/itemProps4.xml><?xml version="1.0" encoding="utf-8"?>
<ds:datastoreItem xmlns:ds="http://schemas.openxmlformats.org/officeDocument/2006/customXml" ds:itemID="{2DF04BA5-C126-424B-80C4-4DD7C476BAE8}">
  <ds:schemaRefs/>
</ds:datastoreItem>
</file>

<file path=customXml/itemProps5.xml><?xml version="1.0" encoding="utf-8"?>
<ds:datastoreItem xmlns:ds="http://schemas.openxmlformats.org/officeDocument/2006/customXml" ds:itemID="{D190B786-A0BD-4647-A8B0-47FC7F55F4F2}">
  <ds:schemaRefs>
    <ds:schemaRef ds:uri="http://schemas.microsoft.com/DataMashup"/>
  </ds:schemaRefs>
</ds:datastoreItem>
</file>

<file path=customXml/itemProps6.xml><?xml version="1.0" encoding="utf-8"?>
<ds:datastoreItem xmlns:ds="http://schemas.openxmlformats.org/officeDocument/2006/customXml" ds:itemID="{259F4B04-9521-4DE6-B4B2-A96CA5063120}">
  <ds:schemaRefs/>
</ds:datastoreItem>
</file>

<file path=customXml/itemProps7.xml><?xml version="1.0" encoding="utf-8"?>
<ds:datastoreItem xmlns:ds="http://schemas.openxmlformats.org/officeDocument/2006/customXml" ds:itemID="{B6A47CF7-229C-42FB-BF5A-5ABF094DFA9D}">
  <ds:schemaRefs/>
</ds:datastoreItem>
</file>

<file path=customXml/itemProps8.xml><?xml version="1.0" encoding="utf-8"?>
<ds:datastoreItem xmlns:ds="http://schemas.openxmlformats.org/officeDocument/2006/customXml" ds:itemID="{E56783B4-CF96-418E-AD2E-6ABDC32E0969}">
  <ds:schemaRefs/>
</ds:datastoreItem>
</file>

<file path=customXml/itemProps9.xml><?xml version="1.0" encoding="utf-8"?>
<ds:datastoreItem xmlns:ds="http://schemas.openxmlformats.org/officeDocument/2006/customXml" ds:itemID="{843F64B7-06BC-4EA4-8F26-6DF0EC11A380}">
  <ds:schemaRefs/>
</ds:datastoreItem>
</file>

<file path=customXml/itemProps10.xml><?xml version="1.0" encoding="utf-8"?>
<ds:datastoreItem xmlns:ds="http://schemas.openxmlformats.org/officeDocument/2006/customXml" ds:itemID="{3259FEB6-952A-46CA-88DA-ED80A27F9911}">
  <ds:schemaRefs/>
</ds:datastoreItem>
</file>

<file path=customXml/itemProps11.xml><?xml version="1.0" encoding="utf-8"?>
<ds:datastoreItem xmlns:ds="http://schemas.openxmlformats.org/officeDocument/2006/customXml" ds:itemID="{35EF87E2-98BD-4C08-A6D5-6F9EFB2B0A8F}">
  <ds:schemaRefs/>
</ds:datastoreItem>
</file>

<file path=customXml/itemProps12.xml><?xml version="1.0" encoding="utf-8"?>
<ds:datastoreItem xmlns:ds="http://schemas.openxmlformats.org/officeDocument/2006/customXml" ds:itemID="{8F7A70EF-F66F-4CC2-AA1F-F1FE12A4FDB3}">
  <ds:schemaRefs/>
</ds:datastoreItem>
</file>

<file path=customXml/itemProps13.xml><?xml version="1.0" encoding="utf-8"?>
<ds:datastoreItem xmlns:ds="http://schemas.openxmlformats.org/officeDocument/2006/customXml" ds:itemID="{554A3F24-5FC2-49AD-9C48-D10CB640ACCD}">
  <ds:schemaRefs/>
</ds:datastoreItem>
</file>

<file path=customXml/itemProps14.xml><?xml version="1.0" encoding="utf-8"?>
<ds:datastoreItem xmlns:ds="http://schemas.openxmlformats.org/officeDocument/2006/customXml" ds:itemID="{E2F21CF0-B97D-4F66-BFD9-9A0C1C31008C}">
  <ds:schemaRefs/>
</ds:datastoreItem>
</file>

<file path=customXml/itemProps15.xml><?xml version="1.0" encoding="utf-8"?>
<ds:datastoreItem xmlns:ds="http://schemas.openxmlformats.org/officeDocument/2006/customXml" ds:itemID="{7DA28F7E-8E6D-42AB-8C08-2B8D141B7EFA}">
  <ds:schemaRefs/>
</ds:datastoreItem>
</file>

<file path=customXml/itemProps16.xml><?xml version="1.0" encoding="utf-8"?>
<ds:datastoreItem xmlns:ds="http://schemas.openxmlformats.org/officeDocument/2006/customXml" ds:itemID="{34BCD2AC-196D-4779-8781-DB2FBE8B908E}">
  <ds:schemaRefs/>
</ds:datastoreItem>
</file>

<file path=customXml/itemProps17.xml><?xml version="1.0" encoding="utf-8"?>
<ds:datastoreItem xmlns:ds="http://schemas.openxmlformats.org/officeDocument/2006/customXml" ds:itemID="{AC89C6D6-0452-4616-BBA9-CBE4A3CC3566}">
  <ds:schemaRefs/>
</ds:datastoreItem>
</file>

<file path=customXml/itemProps18.xml><?xml version="1.0" encoding="utf-8"?>
<ds:datastoreItem xmlns:ds="http://schemas.openxmlformats.org/officeDocument/2006/customXml" ds:itemID="{FEBB68C7-64B2-4376-855A-DBE9100AEC3A}">
  <ds:schemaRefs/>
</ds:datastoreItem>
</file>

<file path=customXml/itemProps19.xml><?xml version="1.0" encoding="utf-8"?>
<ds:datastoreItem xmlns:ds="http://schemas.openxmlformats.org/officeDocument/2006/customXml" ds:itemID="{2B3C692D-D0C7-4844-98DF-9A3F5A05E461}">
  <ds:schemaRefs/>
</ds:datastoreItem>
</file>

<file path=customXml/itemProps20.xml><?xml version="1.0" encoding="utf-8"?>
<ds:datastoreItem xmlns:ds="http://schemas.openxmlformats.org/officeDocument/2006/customXml" ds:itemID="{B6CEC97B-D795-4B61-9B2C-BC9B62F9D6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Poivt Tables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ayman</dc:creator>
  <cp:lastModifiedBy>m ayman</cp:lastModifiedBy>
  <dcterms:created xsi:type="dcterms:W3CDTF">2026-04-22T17:21:02Z</dcterms:created>
  <dcterms:modified xsi:type="dcterms:W3CDTF">2026-05-12T17:06:21Z</dcterms:modified>
</cp:coreProperties>
</file>